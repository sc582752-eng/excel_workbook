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0289287e221c9e/Documents/"/>
    </mc:Choice>
  </mc:AlternateContent>
  <xr:revisionPtr revIDLastSave="4" documentId="13_ncr:1_{9861200A-D694-478F-B7AC-FE40A415190B}" xr6:coauthVersionLast="47" xr6:coauthVersionMax="47" xr10:uidLastSave="{AC6BCD2E-B5B2-45AB-8548-BC820EEA98CB}"/>
  <workbookProtection workbookAlgorithmName="SHA-512" workbookHashValue="iLz8AtCucbf07rCwjkiuk+bEcwzmUYeAGK5CHRt0xq/HOmVDlKKrzzP6HrwyDqPZ/sTj4K9mPNhGn5LXVde+/Q==" workbookSaltValue="p/t1QDZd5n1fc+PkH0zUPw==" workbookSpinCount="100000" lockStructure="1"/>
  <bookViews>
    <workbookView xWindow="-108" yWindow="-108" windowWidth="23256" windowHeight="12456" activeTab="3" xr2:uid="{00000000-000D-0000-FFFF-FFFF00000000}"/>
  </bookViews>
  <sheets>
    <sheet name="student grade" sheetId="4" r:id="rId1"/>
    <sheet name="Student_Data" sheetId="1" r:id="rId2"/>
    <sheet name="Summary_Report" sheetId="2" r:id="rId3"/>
    <sheet name="Dash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B213" i="1"/>
  <c r="B212" i="1"/>
  <c r="B211" i="1"/>
  <c r="B2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9" i="1"/>
</calcChain>
</file>

<file path=xl/sharedStrings.xml><?xml version="1.0" encoding="utf-8"?>
<sst xmlns="http://schemas.openxmlformats.org/spreadsheetml/2006/main" count="645" uniqueCount="388">
  <si>
    <t>Student ID</t>
  </si>
  <si>
    <t>Name</t>
  </si>
  <si>
    <t>Math</t>
  </si>
  <si>
    <t>Science</t>
  </si>
  <si>
    <t>English</t>
  </si>
  <si>
    <t>Computer</t>
  </si>
  <si>
    <t>Social Studies</t>
  </si>
  <si>
    <t>Class</t>
  </si>
  <si>
    <t>Total</t>
  </si>
  <si>
    <t>Percentage</t>
  </si>
  <si>
    <t>Grade</t>
  </si>
  <si>
    <t>ST001</t>
  </si>
  <si>
    <t>Kavya Sharma</t>
  </si>
  <si>
    <t>12</t>
  </si>
  <si>
    <t>C</t>
  </si>
  <si>
    <t>ST002</t>
  </si>
  <si>
    <t>Krishna Kapoor</t>
  </si>
  <si>
    <t>ST003</t>
  </si>
  <si>
    <t>Isha Iyer</t>
  </si>
  <si>
    <t>B</t>
  </si>
  <si>
    <t>ST004</t>
  </si>
  <si>
    <t>Sai Chopra</t>
  </si>
  <si>
    <t>ST005</t>
  </si>
  <si>
    <t>Rohan Gupta</t>
  </si>
  <si>
    <t>ST006</t>
  </si>
  <si>
    <t>Aarav Sharma</t>
  </si>
  <si>
    <t>ST007</t>
  </si>
  <si>
    <t>Aarav Pillai</t>
  </si>
  <si>
    <t>ST008</t>
  </si>
  <si>
    <t>Rohan Das</t>
  </si>
  <si>
    <t>ST009</t>
  </si>
  <si>
    <t>Meera Bose</t>
  </si>
  <si>
    <t>A</t>
  </si>
  <si>
    <t>ST010</t>
  </si>
  <si>
    <t>Myra Gupta</t>
  </si>
  <si>
    <t>ST011</t>
  </si>
  <si>
    <t>Ananya Malhotra</t>
  </si>
  <si>
    <t>ST012</t>
  </si>
  <si>
    <t>ST013</t>
  </si>
  <si>
    <t>Aditya Kapoor</t>
  </si>
  <si>
    <t>ST014</t>
  </si>
  <si>
    <t>Vivaan Patel</t>
  </si>
  <si>
    <t>ST015</t>
  </si>
  <si>
    <t>Krishna Joshi</t>
  </si>
  <si>
    <t>ST016</t>
  </si>
  <si>
    <t>Reyansh Singh</t>
  </si>
  <si>
    <t>ST017</t>
  </si>
  <si>
    <t>Meera Ghosh</t>
  </si>
  <si>
    <t>ST018</t>
  </si>
  <si>
    <t>Arjun Mishra</t>
  </si>
  <si>
    <t>ST019</t>
  </si>
  <si>
    <t>Kavya Sinha</t>
  </si>
  <si>
    <t>ST020</t>
  </si>
  <si>
    <t>Anika Mishra</t>
  </si>
  <si>
    <t>A+</t>
  </si>
  <si>
    <t>ST021</t>
  </si>
  <si>
    <t>Vivaan Das</t>
  </si>
  <si>
    <t>ST022</t>
  </si>
  <si>
    <t>Reyansh Gupta</t>
  </si>
  <si>
    <t>ST023</t>
  </si>
  <si>
    <t>Sara Joshi</t>
  </si>
  <si>
    <t>ST024</t>
  </si>
  <si>
    <t>Aarav Kapoor</t>
  </si>
  <si>
    <t>ST025</t>
  </si>
  <si>
    <t>Vivaan Nair</t>
  </si>
  <si>
    <t>ST026</t>
  </si>
  <si>
    <t>Arjun Patel</t>
  </si>
  <si>
    <t>ST027</t>
  </si>
  <si>
    <t>Myra Das</t>
  </si>
  <si>
    <t>ST028</t>
  </si>
  <si>
    <t>Isha Mishra</t>
  </si>
  <si>
    <t>ST029</t>
  </si>
  <si>
    <t>Sara Sharma</t>
  </si>
  <si>
    <t>ST030</t>
  </si>
  <si>
    <t>Aditya Singh</t>
  </si>
  <si>
    <t>ST031</t>
  </si>
  <si>
    <t>Diya Singh</t>
  </si>
  <si>
    <t>ST032</t>
  </si>
  <si>
    <t>Krishna Bansal</t>
  </si>
  <si>
    <t>ST033</t>
  </si>
  <si>
    <t>Vivaan Verma</t>
  </si>
  <si>
    <t>ST034</t>
  </si>
  <si>
    <t>Anika Sharma</t>
  </si>
  <si>
    <t>ST035</t>
  </si>
  <si>
    <t>Sara Nair</t>
  </si>
  <si>
    <t>ST036</t>
  </si>
  <si>
    <t>Sai Joshi</t>
  </si>
  <si>
    <t>ST037</t>
  </si>
  <si>
    <t>Aarav Das</t>
  </si>
  <si>
    <t>ST038</t>
  </si>
  <si>
    <t>Myra Ghosh</t>
  </si>
  <si>
    <t>ST039</t>
  </si>
  <si>
    <t>Meera Mehta</t>
  </si>
  <si>
    <t>ST040</t>
  </si>
  <si>
    <t>Aarav Mishra</t>
  </si>
  <si>
    <t>ST041</t>
  </si>
  <si>
    <t>Rohan Iyer</t>
  </si>
  <si>
    <t>ST042</t>
  </si>
  <si>
    <t>Ananya Das</t>
  </si>
  <si>
    <t>ST043</t>
  </si>
  <si>
    <t>Kavya Chopra</t>
  </si>
  <si>
    <t>ST044</t>
  </si>
  <si>
    <t>Diya Kapoor</t>
  </si>
  <si>
    <t>ST045</t>
  </si>
  <si>
    <t>Arjun Verma</t>
  </si>
  <si>
    <t>ST046</t>
  </si>
  <si>
    <t>Sai Sharma</t>
  </si>
  <si>
    <t>ST047</t>
  </si>
  <si>
    <t>Ishaan Mehta</t>
  </si>
  <si>
    <t>ST048</t>
  </si>
  <si>
    <t>Krishna Malhotra</t>
  </si>
  <si>
    <t>ST049</t>
  </si>
  <si>
    <t>ST050</t>
  </si>
  <si>
    <t>Reyansh Bose</t>
  </si>
  <si>
    <t>ST051</t>
  </si>
  <si>
    <t>Meera Patel</t>
  </si>
  <si>
    <t>ST052</t>
  </si>
  <si>
    <t>Diya Iyer</t>
  </si>
  <si>
    <t>ST053</t>
  </si>
  <si>
    <t>Anika Iyer</t>
  </si>
  <si>
    <t>ST054</t>
  </si>
  <si>
    <t>Kavya Nair</t>
  </si>
  <si>
    <t>ST055</t>
  </si>
  <si>
    <t>Aadhya Reddy</t>
  </si>
  <si>
    <t>ST056</t>
  </si>
  <si>
    <t>Kavya Ghosh</t>
  </si>
  <si>
    <t>ST057</t>
  </si>
  <si>
    <t>Diya Chopra</t>
  </si>
  <si>
    <t>ST058</t>
  </si>
  <si>
    <t>Isha Verma</t>
  </si>
  <si>
    <t>ST059</t>
  </si>
  <si>
    <t>Sara Ghosh</t>
  </si>
  <si>
    <t>ST060</t>
  </si>
  <si>
    <t>ST061</t>
  </si>
  <si>
    <t>Vihaan Mishra</t>
  </si>
  <si>
    <t>ST062</t>
  </si>
  <si>
    <t>Krishna Singh</t>
  </si>
  <si>
    <t>ST063</t>
  </si>
  <si>
    <t>Arjun Pillai</t>
  </si>
  <si>
    <t>ST064</t>
  </si>
  <si>
    <t>Reyansh Sharma</t>
  </si>
  <si>
    <t>ST065</t>
  </si>
  <si>
    <t>ST066</t>
  </si>
  <si>
    <t>Krishna Verma</t>
  </si>
  <si>
    <t>ST067</t>
  </si>
  <si>
    <t>Vivaan Pillai</t>
  </si>
  <si>
    <t>ST068</t>
  </si>
  <si>
    <t>Ishaan Singh</t>
  </si>
  <si>
    <t>ST069</t>
  </si>
  <si>
    <t>Vihaan Das</t>
  </si>
  <si>
    <t>ST070</t>
  </si>
  <si>
    <t>Arjun Gupta</t>
  </si>
  <si>
    <t>ST071</t>
  </si>
  <si>
    <t>ST072</t>
  </si>
  <si>
    <t>Aditya Pillai</t>
  </si>
  <si>
    <t>ST073</t>
  </si>
  <si>
    <t>Meera Iyer</t>
  </si>
  <si>
    <t>ST074</t>
  </si>
  <si>
    <t>Krishna Pillai</t>
  </si>
  <si>
    <t>ST075</t>
  </si>
  <si>
    <t>Sara Kapoor</t>
  </si>
  <si>
    <t>ST076</t>
  </si>
  <si>
    <t>ST077</t>
  </si>
  <si>
    <t>Arjun Singh</t>
  </si>
  <si>
    <t>ST078</t>
  </si>
  <si>
    <t>Ananya Mehta</t>
  </si>
  <si>
    <t>ST079</t>
  </si>
  <si>
    <t>Krishna Ghosh</t>
  </si>
  <si>
    <t>ST080</t>
  </si>
  <si>
    <t>Riya Patel</t>
  </si>
  <si>
    <t>ST081</t>
  </si>
  <si>
    <t>Krishna Patel</t>
  </si>
  <si>
    <t>ST082</t>
  </si>
  <si>
    <t>Vivaan Bose</t>
  </si>
  <si>
    <t>ST083</t>
  </si>
  <si>
    <t>Vihaan Gupta</t>
  </si>
  <si>
    <t>ST084</t>
  </si>
  <si>
    <t>Vivaan Sharma</t>
  </si>
  <si>
    <t>ST085</t>
  </si>
  <si>
    <t>Isha Ghosh</t>
  </si>
  <si>
    <t>ST086</t>
  </si>
  <si>
    <t>ST087</t>
  </si>
  <si>
    <t>Anika Pillai</t>
  </si>
  <si>
    <t>ST088</t>
  </si>
  <si>
    <t>Aarav Patel</t>
  </si>
  <si>
    <t>ST089</t>
  </si>
  <si>
    <t>Myra Bansal</t>
  </si>
  <si>
    <t>ST090</t>
  </si>
  <si>
    <t>Meera Das</t>
  </si>
  <si>
    <t>ST091</t>
  </si>
  <si>
    <t>Sara Bose</t>
  </si>
  <si>
    <t>ST092</t>
  </si>
  <si>
    <t>Myra Iyer</t>
  </si>
  <si>
    <t>ST093</t>
  </si>
  <si>
    <t>Aarav Malhotra</t>
  </si>
  <si>
    <t>ST094</t>
  </si>
  <si>
    <t>Diya Pillai</t>
  </si>
  <si>
    <t>ST095</t>
  </si>
  <si>
    <t>ST096</t>
  </si>
  <si>
    <t>Reyansh Malhotra</t>
  </si>
  <si>
    <t>ST097</t>
  </si>
  <si>
    <t>Riya Verma</t>
  </si>
  <si>
    <t>ST098</t>
  </si>
  <si>
    <t>Kavya Bose</t>
  </si>
  <si>
    <t>ST099</t>
  </si>
  <si>
    <t>Anika Reddy</t>
  </si>
  <si>
    <t>ST100</t>
  </si>
  <si>
    <t>Aarav Nair</t>
  </si>
  <si>
    <t>ST101</t>
  </si>
  <si>
    <t>Aadhya Bose</t>
  </si>
  <si>
    <t>ST102</t>
  </si>
  <si>
    <t>ST103</t>
  </si>
  <si>
    <t>Aditya Malhotra</t>
  </si>
  <si>
    <t>ST104</t>
  </si>
  <si>
    <t>ST105</t>
  </si>
  <si>
    <t>ST106</t>
  </si>
  <si>
    <t>Arjun Nair</t>
  </si>
  <si>
    <t>ST107</t>
  </si>
  <si>
    <t>ST108</t>
  </si>
  <si>
    <t>ST109</t>
  </si>
  <si>
    <t>Vihaan Patel</t>
  </si>
  <si>
    <t>ST110</t>
  </si>
  <si>
    <t>Ishaan Verma</t>
  </si>
  <si>
    <t>ST111</t>
  </si>
  <si>
    <t>Isha Sinha</t>
  </si>
  <si>
    <t>ST112</t>
  </si>
  <si>
    <t>Ishaan Patel</t>
  </si>
  <si>
    <t>ST113</t>
  </si>
  <si>
    <t>ST114</t>
  </si>
  <si>
    <t>Rohan Sinha</t>
  </si>
  <si>
    <t>ST115</t>
  </si>
  <si>
    <t>ST116</t>
  </si>
  <si>
    <t>Isha Kapoor</t>
  </si>
  <si>
    <t>ST117</t>
  </si>
  <si>
    <t>Sai Pillai</t>
  </si>
  <si>
    <t>ST118</t>
  </si>
  <si>
    <t>Sara Mishra</t>
  </si>
  <si>
    <t>ST119</t>
  </si>
  <si>
    <t>Isha Das</t>
  </si>
  <si>
    <t>ST120</t>
  </si>
  <si>
    <t>Myra Bose</t>
  </si>
  <si>
    <t>ST121</t>
  </si>
  <si>
    <t>Ishaan Kapoor</t>
  </si>
  <si>
    <t>ST122</t>
  </si>
  <si>
    <t>Riya Iyer</t>
  </si>
  <si>
    <t>ST123</t>
  </si>
  <si>
    <t>ST124</t>
  </si>
  <si>
    <t>ST125</t>
  </si>
  <si>
    <t>ST126</t>
  </si>
  <si>
    <t>Sai Patel</t>
  </si>
  <si>
    <t>ST127</t>
  </si>
  <si>
    <t>ST128</t>
  </si>
  <si>
    <t>ST129</t>
  </si>
  <si>
    <t>Rohan Malhotra</t>
  </si>
  <si>
    <t>ST130</t>
  </si>
  <si>
    <t>Meera Singh</t>
  </si>
  <si>
    <t>ST131</t>
  </si>
  <si>
    <t>Sai Verma</t>
  </si>
  <si>
    <t>ST132</t>
  </si>
  <si>
    <t>Riya Kapoor</t>
  </si>
  <si>
    <t>ST133</t>
  </si>
  <si>
    <t>ST134</t>
  </si>
  <si>
    <t>Vivaan Gupta</t>
  </si>
  <si>
    <t>ST135</t>
  </si>
  <si>
    <t>ST136</t>
  </si>
  <si>
    <t>Vihaan Bose</t>
  </si>
  <si>
    <t>ST137</t>
  </si>
  <si>
    <t>Aarav Joshi</t>
  </si>
  <si>
    <t>ST138</t>
  </si>
  <si>
    <t>Meera Sinha</t>
  </si>
  <si>
    <t>ST139</t>
  </si>
  <si>
    <t>Ishaan Chopra</t>
  </si>
  <si>
    <t>ST140</t>
  </si>
  <si>
    <t>Aditya Iyer</t>
  </si>
  <si>
    <t>ST141</t>
  </si>
  <si>
    <t>Sai Das</t>
  </si>
  <si>
    <t>ST142</t>
  </si>
  <si>
    <t>ST143</t>
  </si>
  <si>
    <t>Anika Mehta</t>
  </si>
  <si>
    <t>ST144</t>
  </si>
  <si>
    <t>Aarav Verma</t>
  </si>
  <si>
    <t>ST145</t>
  </si>
  <si>
    <t>ST146</t>
  </si>
  <si>
    <t>Ishaan Gupta</t>
  </si>
  <si>
    <t>ST147</t>
  </si>
  <si>
    <t>ST148</t>
  </si>
  <si>
    <t>Vihaan Bansal</t>
  </si>
  <si>
    <t>ST149</t>
  </si>
  <si>
    <t>Isha Bansal</t>
  </si>
  <si>
    <t>ST150</t>
  </si>
  <si>
    <t>ST151</t>
  </si>
  <si>
    <t>Anika Gupta</t>
  </si>
  <si>
    <t>ST152</t>
  </si>
  <si>
    <t>Ananya Patel</t>
  </si>
  <si>
    <t>ST153</t>
  </si>
  <si>
    <t>ST154</t>
  </si>
  <si>
    <t>ST155</t>
  </si>
  <si>
    <t>Fail</t>
  </si>
  <si>
    <t>ST156</t>
  </si>
  <si>
    <t>Kavya Gupta</t>
  </si>
  <si>
    <t>ST157</t>
  </si>
  <si>
    <t>Aadhya Nair</t>
  </si>
  <si>
    <t>ST158</t>
  </si>
  <si>
    <t>ST159</t>
  </si>
  <si>
    <t>Kavya Joshi</t>
  </si>
  <si>
    <t>ST160</t>
  </si>
  <si>
    <t>Sara Sinha</t>
  </si>
  <si>
    <t>ST161</t>
  </si>
  <si>
    <t>Ananya Singh</t>
  </si>
  <si>
    <t>ST162</t>
  </si>
  <si>
    <t>Vihaan Nair</t>
  </si>
  <si>
    <t>ST163</t>
  </si>
  <si>
    <t>ST164</t>
  </si>
  <si>
    <t>Krishna Mehta</t>
  </si>
  <si>
    <t>ST165</t>
  </si>
  <si>
    <t>ST166</t>
  </si>
  <si>
    <t>Reyansh Nair</t>
  </si>
  <si>
    <t>ST167</t>
  </si>
  <si>
    <t>Sara Gupta</t>
  </si>
  <si>
    <t>ST168</t>
  </si>
  <si>
    <t>Sara Iyer</t>
  </si>
  <si>
    <t>ST169</t>
  </si>
  <si>
    <t>Aditya Nair</t>
  </si>
  <si>
    <t>ST170</t>
  </si>
  <si>
    <t>ST171</t>
  </si>
  <si>
    <t>ST172</t>
  </si>
  <si>
    <t>ST173</t>
  </si>
  <si>
    <t>ST174</t>
  </si>
  <si>
    <t>Ananya Joshi</t>
  </si>
  <si>
    <t>ST175</t>
  </si>
  <si>
    <t>Diya Mehta</t>
  </si>
  <si>
    <t>ST176</t>
  </si>
  <si>
    <t>Ishaan Bansal</t>
  </si>
  <si>
    <t>ST177</t>
  </si>
  <si>
    <t>Rohan Bose</t>
  </si>
  <si>
    <t>ST178</t>
  </si>
  <si>
    <t>ST179</t>
  </si>
  <si>
    <t>Rohan Joshi</t>
  </si>
  <si>
    <t>ST180</t>
  </si>
  <si>
    <t>Rohan Ghosh</t>
  </si>
  <si>
    <t>ST181</t>
  </si>
  <si>
    <t>Krishna Iyer</t>
  </si>
  <si>
    <t>ST182</t>
  </si>
  <si>
    <t>ST183</t>
  </si>
  <si>
    <t>ST184</t>
  </si>
  <si>
    <t>Aditya Bose</t>
  </si>
  <si>
    <t>ST185</t>
  </si>
  <si>
    <t>ST186</t>
  </si>
  <si>
    <t>Arjun Sharma</t>
  </si>
  <si>
    <t>ST187</t>
  </si>
  <si>
    <t>Anika Verma</t>
  </si>
  <si>
    <t>ST188</t>
  </si>
  <si>
    <t>Vivaan Kapoor</t>
  </si>
  <si>
    <t>ST189</t>
  </si>
  <si>
    <t>ST190</t>
  </si>
  <si>
    <t>Ananya Bansal</t>
  </si>
  <si>
    <t>ST191</t>
  </si>
  <si>
    <t>Arjun Chopra</t>
  </si>
  <si>
    <t>ST192</t>
  </si>
  <si>
    <t>ST193</t>
  </si>
  <si>
    <t>Ananya Reddy</t>
  </si>
  <si>
    <t>ST194</t>
  </si>
  <si>
    <t>Myra Chopra</t>
  </si>
  <si>
    <t>ST195</t>
  </si>
  <si>
    <t>ST196</t>
  </si>
  <si>
    <t>Vihaan Malhotra</t>
  </si>
  <si>
    <t>ST197</t>
  </si>
  <si>
    <t>Vihaan Iyer</t>
  </si>
  <si>
    <t>ST198</t>
  </si>
  <si>
    <t>ST199</t>
  </si>
  <si>
    <t>ST200</t>
  </si>
  <si>
    <t>Ananya Iyer</t>
  </si>
  <si>
    <t>Average Marks</t>
  </si>
  <si>
    <t>Highest Marks</t>
  </si>
  <si>
    <t>Lowest Marks</t>
  </si>
  <si>
    <t>Dashboard</t>
  </si>
  <si>
    <t>Use Excel charts (bar, pie) to visualize summary data.</t>
  </si>
  <si>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>:- Student Performance Tracker Using Microsoft Excel</t>
    </r>
  </si>
  <si>
    <r>
      <rPr>
        <b/>
        <sz val="11"/>
        <color theme="1"/>
        <rFont val="Calibri"/>
        <family val="2"/>
        <scheme val="minor"/>
      </rPr>
      <t>Aim</t>
    </r>
    <r>
      <rPr>
        <sz val="11"/>
        <color theme="1"/>
        <rFont val="Calibri"/>
        <family val="2"/>
        <scheme val="minor"/>
      </rPr>
      <t>:- To create a smart Excel-based system that records student marks, calculates averages and grades, and provides visual insights into performance trends.</t>
    </r>
  </si>
  <si>
    <r>
      <rPr>
        <b/>
        <sz val="11"/>
        <color theme="1"/>
        <rFont val="Calibri"/>
        <family val="2"/>
        <scheme val="minor"/>
      </rPr>
      <t>Objective:</t>
    </r>
    <r>
      <rPr>
        <sz val="11"/>
        <color theme="1"/>
        <rFont val="Calibri"/>
        <family val="2"/>
        <scheme val="minor"/>
      </rPr>
      <t>- The objective is to automate the student result management process using Microsoft Excel formulas, charts, and conditional formatting.</t>
    </r>
  </si>
  <si>
    <t>Count of Grade</t>
  </si>
  <si>
    <t>Total Students</t>
  </si>
  <si>
    <t>Class Average</t>
  </si>
  <si>
    <t>Highest Average</t>
  </si>
  <si>
    <t>Lowest Average</t>
  </si>
  <si>
    <t>BAR CHART FOR STUDENT GRADE DATA</t>
  </si>
  <si>
    <t>PIE CHART FOR STUDENT GRADE DATA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</si>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</sst>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pivotButton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pivotButton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[uid- 25BCD10093^J25BCD10106.xlsx]student grade!PivotTable5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690662493479395E-2"/>
          <c:y val="0.21902559055118109"/>
          <c:w val="0.9426186750130412"/>
          <c:h val="0.59522783610382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'student grade'!$B$3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'student grade'!$A$4:$A$8</c:f>
              <c:strCache>
                <c:ptCount val="5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Fail</c:v>
                </c:pt>
              </c:strCache>
            </c:strRef>
          </c:cat>
          <c:val>
            <c:numRef>
              <c:f>'student grade'!$B$4:$B$8</c:f>
              <c:numCache>
                <c:formatCode>General</c:formatCode>
                <c:ptCount val="5"/>
                <c:pt idx="0">
                  <c:v>28</c:v>
                </c:pt>
                <c:pt idx="1">
                  <c:v>1</c:v>
                </c:pt>
                <c:pt idx="2">
                  <c:v>115</c:v>
                </c:pt>
                <c:pt idx="3">
                  <c:v>55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9-4098-8050-1A2C60025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3690703"/>
        <c:axId val="1493694543"/>
      </c:barChart>
      <c:catAx>
        <c:axId val="149369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94543"/>
        <c:crosses val="autoZero"/>
        <c:auto val="1"/>
        <c:lblAlgn val="ctr"/>
        <c:lblOffset val="100"/>
        <c:noMultiLvlLbl val="0"/>
      </c:catAx>
      <c:valAx>
        <c:axId val="1493694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369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[uid- 25BCD10093^J25BCD10106.xlsx]Dashboard!PivotTable1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93F-4FF9-A19F-37C02045956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93F-4FF9-A19F-37C02045956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93F-4FF9-A19F-37C02045956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93F-4FF9-A19F-37C02045956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993F-4FF9-A19F-37C02045956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dk1">
                          <a:tint val="88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93F-4FF9-A19F-37C02045956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dk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93F-4FF9-A19F-37C02045956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dk1">
                          <a:tint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93F-4FF9-A19F-37C02045956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dk1">
                          <a:tint val="985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93F-4FF9-A19F-37C02045956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dk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93F-4FF9-A19F-37C0204595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Dashboard!$A$5:$A$9</c:f>
              <c:strCache>
                <c:ptCount val="5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Fail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28</c:v>
                </c:pt>
                <c:pt idx="1">
                  <c:v>1</c:v>
                </c:pt>
                <c:pt idx="2">
                  <c:v>115</c:v>
                </c:pt>
                <c:pt idx="3">
                  <c:v>55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F-4FF9-A19F-37C02045956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[uid- 25BCD10093^J25BCD10106.xlsx]Dashboard!PivotTable1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tint val="50000"/>
                  <a:satMod val="300000"/>
                </a:schemeClr>
              </a:gs>
              <a:gs pos="35000">
                <a:schemeClr val="dk1">
                  <a:tint val="88500"/>
                  <a:tint val="37000"/>
                  <a:satMod val="300000"/>
                </a:schemeClr>
              </a:gs>
              <a:gs pos="100000">
                <a:schemeClr val="dk1">
                  <a:tint val="88500"/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247594050743664E-2"/>
          <c:y val="0.26791447944006996"/>
          <c:w val="0.77378937007874016"/>
          <c:h val="0.537743875765529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tint val="50000"/>
                    <a:satMod val="300000"/>
                  </a:schemeClr>
                </a:gs>
                <a:gs pos="35000">
                  <a:schemeClr val="dk1">
                    <a:tint val="88500"/>
                    <a:tint val="37000"/>
                    <a:satMod val="300000"/>
                  </a:schemeClr>
                </a:gs>
                <a:gs pos="100000">
                  <a:schemeClr val="dk1">
                    <a:tint val="885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dk1">
                  <a:tint val="88500"/>
                  <a:shade val="95000"/>
                </a:schemeClr>
              </a:contourClr>
            </a:sp3d>
          </c:spPr>
          <c:invertIfNegative val="0"/>
          <c:cat>
            <c:strRef>
              <c:f>Dashboard!$A$5:$A$9</c:f>
              <c:strCache>
                <c:ptCount val="5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Fail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28</c:v>
                </c:pt>
                <c:pt idx="1">
                  <c:v>1</c:v>
                </c:pt>
                <c:pt idx="2">
                  <c:v>115</c:v>
                </c:pt>
                <c:pt idx="3">
                  <c:v>55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4-461F-9786-23961604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6718848"/>
        <c:axId val="1636732288"/>
        <c:axId val="0"/>
      </c:bar3DChart>
      <c:catAx>
        <c:axId val="16367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32288"/>
        <c:crosses val="autoZero"/>
        <c:auto val="1"/>
        <c:lblAlgn val="ctr"/>
        <c:lblOffset val="100"/>
        <c:noMultiLvlLbl val="0"/>
      </c:catAx>
      <c:valAx>
        <c:axId val="163673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179070</xdr:rowOff>
    </xdr:from>
    <xdr:to>
      <xdr:col>11</xdr:col>
      <xdr:colOff>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B4D24-8BBB-3C29-5F03-3500F80FC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3810</xdr:rowOff>
    </xdr:from>
    <xdr:to>
      <xdr:col>11</xdr:col>
      <xdr:colOff>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0869-7314-D379-976B-C64F85475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28</xdr:row>
      <xdr:rowOff>171450</xdr:rowOff>
    </xdr:from>
    <xdr:to>
      <xdr:col>10</xdr:col>
      <xdr:colOff>601980</xdr:colOff>
      <xdr:row>43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FFAECA-0501-8221-F26E-71F9A8FCB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10</xdr:row>
      <xdr:rowOff>22860</xdr:rowOff>
    </xdr:from>
    <xdr:to>
      <xdr:col>20</xdr:col>
      <xdr:colOff>533400</xdr:colOff>
      <xdr:row>18</xdr:row>
      <xdr:rowOff>22860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41C22F31-CB42-FCEC-02FC-52B29735D9E1}"/>
            </a:ext>
          </a:extLst>
        </xdr:cNvPr>
        <xdr:cNvSpPr/>
      </xdr:nvSpPr>
      <xdr:spPr>
        <a:xfrm>
          <a:off x="8343900" y="1866900"/>
          <a:ext cx="4831080" cy="1463040"/>
        </a:xfrm>
        <a:prstGeom prst="leftArrow">
          <a:avLst>
            <a:gd name="adj1" fmla="val 50000"/>
            <a:gd name="adj2" fmla="val 80208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243840</xdr:colOff>
      <xdr:row>13</xdr:row>
      <xdr:rowOff>45720</xdr:rowOff>
    </xdr:from>
    <xdr:to>
      <xdr:col>19</xdr:col>
      <xdr:colOff>449580</xdr:colOff>
      <xdr:row>15</xdr:row>
      <xdr:rowOff>30480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96B019-33B9-4D59-6FEA-B72DEF512AFA}"/>
            </a:ext>
          </a:extLst>
        </xdr:cNvPr>
        <xdr:cNvSpPr txBox="1"/>
      </xdr:nvSpPr>
      <xdr:spPr>
        <a:xfrm>
          <a:off x="10447020" y="2438400"/>
          <a:ext cx="2034540" cy="35052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                </a:t>
          </a:r>
          <a:r>
            <a:rPr lang="en-IN" sz="1200" b="1">
              <a:solidFill>
                <a:schemeClr val="bg1"/>
              </a:solidFill>
            </a:rPr>
            <a:t>PIE CHART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0</xdr:colOff>
      <xdr:row>32</xdr:row>
      <xdr:rowOff>53340</xdr:rowOff>
    </xdr:from>
    <xdr:to>
      <xdr:col>20</xdr:col>
      <xdr:colOff>236220</xdr:colOff>
      <xdr:row>40</xdr:row>
      <xdr:rowOff>91440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E0DE0D69-1EFA-B39B-4A1F-8404FCD67B80}"/>
            </a:ext>
          </a:extLst>
        </xdr:cNvPr>
        <xdr:cNvSpPr/>
      </xdr:nvSpPr>
      <xdr:spPr>
        <a:xfrm>
          <a:off x="8374380" y="5935980"/>
          <a:ext cx="4503420" cy="1501140"/>
        </a:xfrm>
        <a:prstGeom prst="leftArrow">
          <a:avLst>
            <a:gd name="adj1" fmla="val 48901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259080</xdr:colOff>
      <xdr:row>35</xdr:row>
      <xdr:rowOff>91440</xdr:rowOff>
    </xdr:from>
    <xdr:to>
      <xdr:col>18</xdr:col>
      <xdr:colOff>358140</xdr:colOff>
      <xdr:row>37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B165BE-5C07-4278-7EAD-C227126E7DFF}"/>
            </a:ext>
          </a:extLst>
        </xdr:cNvPr>
        <xdr:cNvSpPr txBox="1"/>
      </xdr:nvSpPr>
      <xdr:spPr>
        <a:xfrm>
          <a:off x="9852660" y="6522720"/>
          <a:ext cx="1927860" cy="2819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bg1"/>
              </a:solidFill>
            </a:rPr>
            <a:t>               BAR CHART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59.969623611112" createdVersion="8" refreshedVersion="8" minRefreshableVersion="3" recordCount="200" xr:uid="{FB49F39E-1CBA-4A18-868D-63CC3920962D}">
  <cacheSource type="worksheet">
    <worksheetSource ref="A8:K208" sheet="Student_Data"/>
  </cacheSource>
  <cacheFields count="11">
    <cacheField name="Student ID" numFmtId="0">
      <sharedItems/>
    </cacheField>
    <cacheField name="Name" numFmtId="0">
      <sharedItems/>
    </cacheField>
    <cacheField name="Math" numFmtId="0">
      <sharedItems containsSemiMixedTypes="0" containsString="0" containsNumber="1" containsInteger="1" minValue="30" maxValue="100"/>
    </cacheField>
    <cacheField name="Science" numFmtId="0">
      <sharedItems containsSemiMixedTypes="0" containsString="0" containsNumber="1" containsInteger="1" minValue="30" maxValue="100"/>
    </cacheField>
    <cacheField name="English" numFmtId="0">
      <sharedItems containsSemiMixedTypes="0" containsString="0" containsNumber="1" containsInteger="1" minValue="30" maxValue="100"/>
    </cacheField>
    <cacheField name="Computer" numFmtId="0">
      <sharedItems containsSemiMixedTypes="0" containsString="0" containsNumber="1" containsInteger="1" minValue="30" maxValue="100"/>
    </cacheField>
    <cacheField name="Social Studies" numFmtId="0">
      <sharedItems containsSemiMixedTypes="0" containsString="0" containsNumber="1" containsInteger="1" minValue="30" maxValue="100"/>
    </cacheField>
    <cacheField name="Class" numFmtId="0">
      <sharedItems/>
    </cacheField>
    <cacheField name="Total" numFmtId="0">
      <sharedItems containsSemiMixedTypes="0" containsString="0" containsNumber="1" containsInteger="1" minValue="197" maxValue="453"/>
    </cacheField>
    <cacheField name="Percentage" numFmtId="0">
      <sharedItems containsSemiMixedTypes="0" containsString="0" containsNumber="1" minValue="39.4" maxValue="90.6"/>
    </cacheField>
    <cacheField name="Grade" numFmtId="0">
      <sharedItems count="5">
        <s v="C"/>
        <s v="B"/>
        <s v="A"/>
        <s v="A+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ST001"/>
    <s v="Kavya Sharma"/>
    <n v="58"/>
    <n v="79"/>
    <n v="57"/>
    <n v="50"/>
    <n v="52"/>
    <s v="12"/>
    <n v="296"/>
    <n v="59.2"/>
    <x v="0"/>
  </r>
  <r>
    <s v="ST002"/>
    <s v="Krishna Kapoor"/>
    <n v="32"/>
    <n v="90"/>
    <n v="78"/>
    <n v="32"/>
    <n v="31"/>
    <s v="12"/>
    <n v="263"/>
    <n v="52.6"/>
    <x v="0"/>
  </r>
  <r>
    <s v="ST003"/>
    <s v="Isha Iyer"/>
    <n v="32"/>
    <n v="60"/>
    <n v="30"/>
    <n v="94"/>
    <n v="95"/>
    <s v="12"/>
    <n v="311"/>
    <n v="62.2"/>
    <x v="1"/>
  </r>
  <r>
    <s v="ST004"/>
    <s v="Sai Chopra"/>
    <n v="79"/>
    <n v="54"/>
    <n v="41"/>
    <n v="47"/>
    <n v="85"/>
    <s v="12"/>
    <n v="306"/>
    <n v="61.2"/>
    <x v="1"/>
  </r>
  <r>
    <s v="ST005"/>
    <s v="Rohan Gupta"/>
    <n v="94"/>
    <n v="34"/>
    <n v="58"/>
    <n v="41"/>
    <n v="73"/>
    <s v="12"/>
    <n v="300"/>
    <n v="60"/>
    <x v="1"/>
  </r>
  <r>
    <s v="ST006"/>
    <s v="Aarav Sharma"/>
    <n v="50"/>
    <n v="44"/>
    <n v="90"/>
    <n v="63"/>
    <n v="60"/>
    <s v="12"/>
    <n v="307"/>
    <n v="61.4"/>
    <x v="1"/>
  </r>
  <r>
    <s v="ST007"/>
    <s v="Aarav Pillai"/>
    <n v="30"/>
    <n v="93"/>
    <n v="73"/>
    <n v="57"/>
    <n v="46"/>
    <s v="12"/>
    <n v="299"/>
    <n v="59.8"/>
    <x v="0"/>
  </r>
  <r>
    <s v="ST008"/>
    <s v="Rohan Das"/>
    <n v="48"/>
    <n v="50"/>
    <n v="35"/>
    <n v="100"/>
    <n v="74"/>
    <s v="12"/>
    <n v="307"/>
    <n v="61.4"/>
    <x v="1"/>
  </r>
  <r>
    <s v="ST009"/>
    <s v="Meera Bose"/>
    <n v="78"/>
    <n v="46"/>
    <n v="84"/>
    <n v="81"/>
    <n v="97"/>
    <s v="12"/>
    <n v="386"/>
    <n v="77.2"/>
    <x v="2"/>
  </r>
  <r>
    <s v="ST010"/>
    <s v="Myra Gupta"/>
    <n v="58"/>
    <n v="51"/>
    <n v="31"/>
    <n v="30"/>
    <n v="64"/>
    <s v="12"/>
    <n v="234"/>
    <n v="46.8"/>
    <x v="0"/>
  </r>
  <r>
    <s v="ST011"/>
    <s v="Ananya Malhotra"/>
    <n v="50"/>
    <n v="88"/>
    <n v="76"/>
    <n v="50"/>
    <n v="51"/>
    <s v="12"/>
    <n v="315"/>
    <n v="63"/>
    <x v="1"/>
  </r>
  <r>
    <s v="ST012"/>
    <s v="Rohan Gupta"/>
    <n v="37"/>
    <n v="39"/>
    <n v="44"/>
    <n v="40"/>
    <n v="75"/>
    <s v="12"/>
    <n v="235"/>
    <n v="47"/>
    <x v="0"/>
  </r>
  <r>
    <s v="ST013"/>
    <s v="Aditya Kapoor"/>
    <n v="94"/>
    <n v="43"/>
    <n v="49"/>
    <n v="95"/>
    <n v="42"/>
    <s v="12"/>
    <n v="323"/>
    <n v="64.599999999999994"/>
    <x v="1"/>
  </r>
  <r>
    <s v="ST014"/>
    <s v="Vivaan Patel"/>
    <n v="49"/>
    <n v="52"/>
    <n v="74"/>
    <n v="79"/>
    <n v="86"/>
    <s v="12"/>
    <n v="340"/>
    <n v="68"/>
    <x v="1"/>
  </r>
  <r>
    <s v="ST015"/>
    <s v="Krishna Joshi"/>
    <n v="80"/>
    <n v="88"/>
    <n v="45"/>
    <n v="83"/>
    <n v="100"/>
    <s v="12"/>
    <n v="396"/>
    <n v="79.2"/>
    <x v="2"/>
  </r>
  <r>
    <s v="ST016"/>
    <s v="Reyansh Singh"/>
    <n v="56"/>
    <n v="70"/>
    <n v="69"/>
    <n v="42"/>
    <n v="61"/>
    <s v="12"/>
    <n v="298"/>
    <n v="59.6"/>
    <x v="0"/>
  </r>
  <r>
    <s v="ST017"/>
    <s v="Meera Ghosh"/>
    <n v="81"/>
    <n v="37"/>
    <n v="41"/>
    <n v="68"/>
    <n v="46"/>
    <s v="12"/>
    <n v="273"/>
    <n v="54.6"/>
    <x v="0"/>
  </r>
  <r>
    <s v="ST018"/>
    <s v="Arjun Mishra"/>
    <n v="73"/>
    <n v="60"/>
    <n v="93"/>
    <n v="42"/>
    <n v="43"/>
    <s v="12"/>
    <n v="311"/>
    <n v="62.2"/>
    <x v="1"/>
  </r>
  <r>
    <s v="ST019"/>
    <s v="Kavya Sinha"/>
    <n v="61"/>
    <n v="60"/>
    <n v="47"/>
    <n v="72"/>
    <n v="58"/>
    <s v="12"/>
    <n v="298"/>
    <n v="59.6"/>
    <x v="0"/>
  </r>
  <r>
    <s v="ST020"/>
    <s v="Anika Mishra"/>
    <n v="94"/>
    <n v="82"/>
    <n v="85"/>
    <n v="98"/>
    <n v="79"/>
    <s v="12"/>
    <n v="438"/>
    <n v="87.6"/>
    <x v="2"/>
  </r>
  <r>
    <s v="ST021"/>
    <s v="Vivaan Das"/>
    <n v="82"/>
    <n v="87"/>
    <n v="34"/>
    <n v="60"/>
    <n v="63"/>
    <s v="12"/>
    <n v="326"/>
    <n v="65.2"/>
    <x v="1"/>
  </r>
  <r>
    <s v="ST022"/>
    <s v="Reyansh Gupta"/>
    <n v="48"/>
    <n v="36"/>
    <n v="97"/>
    <n v="73"/>
    <n v="77"/>
    <s v="12"/>
    <n v="331"/>
    <n v="66.2"/>
    <x v="1"/>
  </r>
  <r>
    <s v="ST023"/>
    <s v="Sara Joshi"/>
    <n v="49"/>
    <n v="85"/>
    <n v="31"/>
    <n v="43"/>
    <n v="70"/>
    <s v="12"/>
    <n v="278"/>
    <n v="55.6"/>
    <x v="0"/>
  </r>
  <r>
    <s v="ST024"/>
    <s v="Aarav Kapoor"/>
    <n v="52"/>
    <n v="35"/>
    <n v="64"/>
    <n v="41"/>
    <n v="33"/>
    <s v="12"/>
    <n v="225"/>
    <n v="45"/>
    <x v="0"/>
  </r>
  <r>
    <s v="ST025"/>
    <s v="Vivaan Nair"/>
    <n v="60"/>
    <n v="42"/>
    <n v="89"/>
    <n v="80"/>
    <n v="100"/>
    <s v="12"/>
    <n v="371"/>
    <n v="74.2"/>
    <x v="1"/>
  </r>
  <r>
    <s v="ST026"/>
    <s v="Arjun Patel"/>
    <n v="31"/>
    <n v="87"/>
    <n v="38"/>
    <n v="42"/>
    <n v="38"/>
    <s v="12"/>
    <n v="236"/>
    <n v="47.2"/>
    <x v="0"/>
  </r>
  <r>
    <s v="ST027"/>
    <s v="Myra Das"/>
    <n v="34"/>
    <n v="100"/>
    <n v="67"/>
    <n v="69"/>
    <n v="71"/>
    <s v="12"/>
    <n v="341"/>
    <n v="68.2"/>
    <x v="1"/>
  </r>
  <r>
    <s v="ST028"/>
    <s v="Isha Mishra"/>
    <n v="69"/>
    <n v="71"/>
    <n v="30"/>
    <n v="86"/>
    <n v="62"/>
    <s v="12"/>
    <n v="318"/>
    <n v="63.6"/>
    <x v="1"/>
  </r>
  <r>
    <s v="ST029"/>
    <s v="Sara Sharma"/>
    <n v="48"/>
    <n v="33"/>
    <n v="83"/>
    <n v="59"/>
    <n v="100"/>
    <s v="12"/>
    <n v="323"/>
    <n v="64.599999999999994"/>
    <x v="1"/>
  </r>
  <r>
    <s v="ST030"/>
    <s v="Aditya Singh"/>
    <n v="61"/>
    <n v="92"/>
    <n v="51"/>
    <n v="49"/>
    <n v="81"/>
    <s v="12"/>
    <n v="334"/>
    <n v="66.8"/>
    <x v="1"/>
  </r>
  <r>
    <s v="ST031"/>
    <s v="Diya Singh"/>
    <n v="46"/>
    <n v="93"/>
    <n v="82"/>
    <n v="95"/>
    <n v="99"/>
    <s v="12"/>
    <n v="415"/>
    <n v="83"/>
    <x v="2"/>
  </r>
  <r>
    <s v="ST032"/>
    <s v="Krishna Bansal"/>
    <n v="71"/>
    <n v="41"/>
    <n v="65"/>
    <n v="71"/>
    <n v="98"/>
    <s v="12"/>
    <n v="346"/>
    <n v="69.2"/>
    <x v="1"/>
  </r>
  <r>
    <s v="ST033"/>
    <s v="Vivaan Verma"/>
    <n v="66"/>
    <n v="91"/>
    <n v="65"/>
    <n v="56"/>
    <n v="68"/>
    <s v="12"/>
    <n v="346"/>
    <n v="69.2"/>
    <x v="1"/>
  </r>
  <r>
    <s v="ST034"/>
    <s v="Anika Sharma"/>
    <n v="77"/>
    <n v="42"/>
    <n v="74"/>
    <n v="58"/>
    <n v="41"/>
    <s v="12"/>
    <n v="292"/>
    <n v="58.4"/>
    <x v="0"/>
  </r>
  <r>
    <s v="ST035"/>
    <s v="Sara Nair"/>
    <n v="92"/>
    <n v="76"/>
    <n v="72"/>
    <n v="89"/>
    <n v="71"/>
    <s v="12"/>
    <n v="400"/>
    <n v="80"/>
    <x v="2"/>
  </r>
  <r>
    <s v="ST036"/>
    <s v="Sai Joshi"/>
    <n v="77"/>
    <n v="43"/>
    <n v="94"/>
    <n v="36"/>
    <n v="56"/>
    <s v="12"/>
    <n v="306"/>
    <n v="61.2"/>
    <x v="1"/>
  </r>
  <r>
    <s v="ST037"/>
    <s v="Aarav Das"/>
    <n v="65"/>
    <n v="36"/>
    <n v="35"/>
    <n v="31"/>
    <n v="59"/>
    <s v="12"/>
    <n v="226"/>
    <n v="45.2"/>
    <x v="0"/>
  </r>
  <r>
    <s v="ST038"/>
    <s v="Myra Ghosh"/>
    <n v="78"/>
    <n v="95"/>
    <n v="72"/>
    <n v="89"/>
    <n v="90"/>
    <s v="12"/>
    <n v="424"/>
    <n v="84.8"/>
    <x v="2"/>
  </r>
  <r>
    <s v="ST039"/>
    <s v="Meera Mehta"/>
    <n v="96"/>
    <n v="90"/>
    <n v="73"/>
    <n v="95"/>
    <n v="51"/>
    <s v="12"/>
    <n v="405"/>
    <n v="81"/>
    <x v="2"/>
  </r>
  <r>
    <s v="ST040"/>
    <s v="Aarav Mishra"/>
    <n v="80"/>
    <n v="48"/>
    <n v="76"/>
    <n v="95"/>
    <n v="39"/>
    <s v="12"/>
    <n v="338"/>
    <n v="67.599999999999994"/>
    <x v="1"/>
  </r>
  <r>
    <s v="ST041"/>
    <s v="Rohan Iyer"/>
    <n v="77"/>
    <n v="43"/>
    <n v="85"/>
    <n v="83"/>
    <n v="90"/>
    <s v="12"/>
    <n v="378"/>
    <n v="75.599999999999994"/>
    <x v="2"/>
  </r>
  <r>
    <s v="ST042"/>
    <s v="Ananya Das"/>
    <n v="38"/>
    <n v="54"/>
    <n v="34"/>
    <n v="55"/>
    <n v="96"/>
    <s v="12"/>
    <n v="277"/>
    <n v="55.4"/>
    <x v="0"/>
  </r>
  <r>
    <s v="ST043"/>
    <s v="Kavya Chopra"/>
    <n v="30"/>
    <n v="60"/>
    <n v="70"/>
    <n v="96"/>
    <n v="42"/>
    <s v="12"/>
    <n v="298"/>
    <n v="59.6"/>
    <x v="0"/>
  </r>
  <r>
    <s v="ST044"/>
    <s v="Diya Kapoor"/>
    <n v="40"/>
    <n v="93"/>
    <n v="51"/>
    <n v="98"/>
    <n v="84"/>
    <s v="12"/>
    <n v="366"/>
    <n v="73.2"/>
    <x v="1"/>
  </r>
  <r>
    <s v="ST045"/>
    <s v="Arjun Verma"/>
    <n v="46"/>
    <n v="91"/>
    <n v="67"/>
    <n v="36"/>
    <n v="67"/>
    <s v="12"/>
    <n v="307"/>
    <n v="61.4"/>
    <x v="1"/>
  </r>
  <r>
    <s v="ST046"/>
    <s v="Sai Sharma"/>
    <n v="99"/>
    <n v="77"/>
    <n v="35"/>
    <n v="44"/>
    <n v="86"/>
    <s v="12"/>
    <n v="341"/>
    <n v="68.2"/>
    <x v="1"/>
  </r>
  <r>
    <s v="ST047"/>
    <s v="Ishaan Mehta"/>
    <n v="78"/>
    <n v="93"/>
    <n v="70"/>
    <n v="87"/>
    <n v="35"/>
    <s v="12"/>
    <n v="363"/>
    <n v="72.599999999999994"/>
    <x v="1"/>
  </r>
  <r>
    <s v="ST048"/>
    <s v="Krishna Malhotra"/>
    <n v="43"/>
    <n v="79"/>
    <n v="31"/>
    <n v="35"/>
    <n v="75"/>
    <s v="12"/>
    <n v="263"/>
    <n v="52.6"/>
    <x v="0"/>
  </r>
  <r>
    <s v="ST049"/>
    <s v="Aditya Kapoor"/>
    <n v="54"/>
    <n v="30"/>
    <n v="99"/>
    <n v="44"/>
    <n v="55"/>
    <s v="12"/>
    <n v="282"/>
    <n v="56.4"/>
    <x v="0"/>
  </r>
  <r>
    <s v="ST050"/>
    <s v="Reyansh Bose"/>
    <n v="71"/>
    <n v="65"/>
    <n v="33"/>
    <n v="55"/>
    <n v="95"/>
    <s v="12"/>
    <n v="319"/>
    <n v="63.8"/>
    <x v="1"/>
  </r>
  <r>
    <s v="ST051"/>
    <s v="Meera Patel"/>
    <n v="63"/>
    <n v="76"/>
    <n v="76"/>
    <n v="31"/>
    <n v="64"/>
    <s v="12"/>
    <n v="310"/>
    <n v="62"/>
    <x v="1"/>
  </r>
  <r>
    <s v="ST052"/>
    <s v="Diya Iyer"/>
    <n v="96"/>
    <n v="97"/>
    <n v="84"/>
    <n v="96"/>
    <n v="80"/>
    <s v="12"/>
    <n v="453"/>
    <n v="90.6"/>
    <x v="3"/>
  </r>
  <r>
    <s v="ST053"/>
    <s v="Anika Iyer"/>
    <n v="96"/>
    <n v="82"/>
    <n v="75"/>
    <n v="65"/>
    <n v="40"/>
    <s v="12"/>
    <n v="358"/>
    <n v="71.599999999999994"/>
    <x v="1"/>
  </r>
  <r>
    <s v="ST054"/>
    <s v="Kavya Nair"/>
    <n v="86"/>
    <n v="74"/>
    <n v="83"/>
    <n v="63"/>
    <n v="56"/>
    <s v="12"/>
    <n v="362"/>
    <n v="72.400000000000006"/>
    <x v="1"/>
  </r>
  <r>
    <s v="ST055"/>
    <s v="Aadhya Reddy"/>
    <n v="72"/>
    <n v="32"/>
    <n v="92"/>
    <n v="85"/>
    <n v="84"/>
    <s v="12"/>
    <n v="365"/>
    <n v="73"/>
    <x v="1"/>
  </r>
  <r>
    <s v="ST056"/>
    <s v="Kavya Ghosh"/>
    <n v="57"/>
    <n v="66"/>
    <n v="96"/>
    <n v="95"/>
    <n v="95"/>
    <s v="12"/>
    <n v="409"/>
    <n v="81.8"/>
    <x v="2"/>
  </r>
  <r>
    <s v="ST057"/>
    <s v="Diya Chopra"/>
    <n v="85"/>
    <n v="81"/>
    <n v="56"/>
    <n v="42"/>
    <n v="85"/>
    <s v="12"/>
    <n v="349"/>
    <n v="69.8"/>
    <x v="1"/>
  </r>
  <r>
    <s v="ST058"/>
    <s v="Isha Verma"/>
    <n v="35"/>
    <n v="86"/>
    <n v="36"/>
    <n v="36"/>
    <n v="69"/>
    <s v="12"/>
    <n v="262"/>
    <n v="52.4"/>
    <x v="0"/>
  </r>
  <r>
    <s v="ST059"/>
    <s v="Sara Ghosh"/>
    <n v="78"/>
    <n v="97"/>
    <n v="34"/>
    <n v="49"/>
    <n v="39"/>
    <s v="12"/>
    <n v="297"/>
    <n v="59.4"/>
    <x v="0"/>
  </r>
  <r>
    <s v="ST060"/>
    <s v="Sara Nair"/>
    <n v="59"/>
    <n v="90"/>
    <n v="77"/>
    <n v="82"/>
    <n v="58"/>
    <s v="12"/>
    <n v="366"/>
    <n v="73.2"/>
    <x v="1"/>
  </r>
  <r>
    <s v="ST061"/>
    <s v="Vihaan Mishra"/>
    <n v="78"/>
    <n v="68"/>
    <n v="100"/>
    <n v="77"/>
    <n v="54"/>
    <s v="12"/>
    <n v="377"/>
    <n v="75.400000000000006"/>
    <x v="2"/>
  </r>
  <r>
    <s v="ST062"/>
    <s v="Krishna Singh"/>
    <n v="51"/>
    <n v="48"/>
    <n v="55"/>
    <n v="76"/>
    <n v="95"/>
    <s v="12"/>
    <n v="325"/>
    <n v="65"/>
    <x v="1"/>
  </r>
  <r>
    <s v="ST063"/>
    <s v="Arjun Pillai"/>
    <n v="88"/>
    <n v="85"/>
    <n v="67"/>
    <n v="70"/>
    <n v="82"/>
    <s v="12"/>
    <n v="392"/>
    <n v="78.400000000000006"/>
    <x v="2"/>
  </r>
  <r>
    <s v="ST064"/>
    <s v="Reyansh Sharma"/>
    <n v="69"/>
    <n v="33"/>
    <n v="44"/>
    <n v="100"/>
    <n v="66"/>
    <s v="12"/>
    <n v="312"/>
    <n v="62.4"/>
    <x v="1"/>
  </r>
  <r>
    <s v="ST065"/>
    <s v="Vivaan Patel"/>
    <n v="82"/>
    <n v="35"/>
    <n v="73"/>
    <n v="76"/>
    <n v="58"/>
    <s v="12"/>
    <n v="324"/>
    <n v="64.8"/>
    <x v="1"/>
  </r>
  <r>
    <s v="ST066"/>
    <s v="Krishna Verma"/>
    <n v="82"/>
    <n v="32"/>
    <n v="69"/>
    <n v="65"/>
    <n v="46"/>
    <s v="12"/>
    <n v="294"/>
    <n v="58.8"/>
    <x v="0"/>
  </r>
  <r>
    <s v="ST067"/>
    <s v="Vivaan Pillai"/>
    <n v="70"/>
    <n v="38"/>
    <n v="45"/>
    <n v="31"/>
    <n v="60"/>
    <s v="12"/>
    <n v="244"/>
    <n v="48.8"/>
    <x v="0"/>
  </r>
  <r>
    <s v="ST068"/>
    <s v="Ishaan Singh"/>
    <n v="81"/>
    <n v="93"/>
    <n v="74"/>
    <n v="95"/>
    <n v="59"/>
    <s v="12"/>
    <n v="402"/>
    <n v="80.400000000000006"/>
    <x v="2"/>
  </r>
  <r>
    <s v="ST069"/>
    <s v="Vihaan Das"/>
    <n v="60"/>
    <n v="40"/>
    <n v="38"/>
    <n v="88"/>
    <n v="33"/>
    <s v="12"/>
    <n v="259"/>
    <n v="51.8"/>
    <x v="0"/>
  </r>
  <r>
    <s v="ST070"/>
    <s v="Arjun Gupta"/>
    <n v="50"/>
    <n v="41"/>
    <n v="48"/>
    <n v="73"/>
    <n v="98"/>
    <s v="12"/>
    <n v="310"/>
    <n v="62"/>
    <x v="1"/>
  </r>
  <r>
    <s v="ST071"/>
    <s v="Sai Chopra"/>
    <n v="52"/>
    <n v="91"/>
    <n v="35"/>
    <n v="99"/>
    <n v="100"/>
    <s v="12"/>
    <n v="377"/>
    <n v="75.400000000000006"/>
    <x v="2"/>
  </r>
  <r>
    <s v="ST072"/>
    <s v="Aditya Pillai"/>
    <n v="70"/>
    <n v="65"/>
    <n v="72"/>
    <n v="88"/>
    <n v="71"/>
    <s v="12"/>
    <n v="366"/>
    <n v="73.2"/>
    <x v="1"/>
  </r>
  <r>
    <s v="ST073"/>
    <s v="Meera Iyer"/>
    <n v="35"/>
    <n v="63"/>
    <n v="79"/>
    <n v="49"/>
    <n v="32"/>
    <s v="12"/>
    <n v="258"/>
    <n v="51.6"/>
    <x v="0"/>
  </r>
  <r>
    <s v="ST074"/>
    <s v="Krishna Pillai"/>
    <n v="79"/>
    <n v="32"/>
    <n v="92"/>
    <n v="48"/>
    <n v="48"/>
    <s v="12"/>
    <n v="299"/>
    <n v="59.8"/>
    <x v="0"/>
  </r>
  <r>
    <s v="ST075"/>
    <s v="Sara Kapoor"/>
    <n v="74"/>
    <n v="62"/>
    <n v="39"/>
    <n v="48"/>
    <n v="95"/>
    <s v="12"/>
    <n v="318"/>
    <n v="63.6"/>
    <x v="1"/>
  </r>
  <r>
    <s v="ST076"/>
    <s v="Sara Nair"/>
    <n v="67"/>
    <n v="45"/>
    <n v="51"/>
    <n v="31"/>
    <n v="96"/>
    <s v="12"/>
    <n v="290"/>
    <n v="58"/>
    <x v="0"/>
  </r>
  <r>
    <s v="ST077"/>
    <s v="Arjun Singh"/>
    <n v="99"/>
    <n v="35"/>
    <n v="39"/>
    <n v="83"/>
    <n v="54"/>
    <s v="12"/>
    <n v="310"/>
    <n v="62"/>
    <x v="1"/>
  </r>
  <r>
    <s v="ST078"/>
    <s v="Ananya Mehta"/>
    <n v="51"/>
    <n v="100"/>
    <n v="30"/>
    <n v="66"/>
    <n v="74"/>
    <s v="12"/>
    <n v="321"/>
    <n v="64.2"/>
    <x v="1"/>
  </r>
  <r>
    <s v="ST079"/>
    <s v="Krishna Ghosh"/>
    <n v="83"/>
    <n v="43"/>
    <n v="31"/>
    <n v="57"/>
    <n v="55"/>
    <s v="12"/>
    <n v="269"/>
    <n v="53.8"/>
    <x v="0"/>
  </r>
  <r>
    <s v="ST080"/>
    <s v="Riya Patel"/>
    <n v="65"/>
    <n v="97"/>
    <n v="60"/>
    <n v="90"/>
    <n v="36"/>
    <s v="12"/>
    <n v="348"/>
    <n v="69.599999999999994"/>
    <x v="1"/>
  </r>
  <r>
    <s v="ST081"/>
    <s v="Krishna Patel"/>
    <n v="47"/>
    <n v="96"/>
    <n v="89"/>
    <n v="100"/>
    <n v="30"/>
    <s v="12"/>
    <n v="362"/>
    <n v="72.400000000000006"/>
    <x v="1"/>
  </r>
  <r>
    <s v="ST082"/>
    <s v="Vivaan Bose"/>
    <n v="78"/>
    <n v="69"/>
    <n v="68"/>
    <n v="47"/>
    <n v="82"/>
    <s v="12"/>
    <n v="344"/>
    <n v="68.8"/>
    <x v="1"/>
  </r>
  <r>
    <s v="ST083"/>
    <s v="Vihaan Gupta"/>
    <n v="65"/>
    <n v="92"/>
    <n v="96"/>
    <n v="69"/>
    <n v="63"/>
    <s v="12"/>
    <n v="385"/>
    <n v="77"/>
    <x v="2"/>
  </r>
  <r>
    <s v="ST084"/>
    <s v="Vivaan Sharma"/>
    <n v="65"/>
    <n v="88"/>
    <n v="33"/>
    <n v="30"/>
    <n v="46"/>
    <s v="12"/>
    <n v="262"/>
    <n v="52.4"/>
    <x v="0"/>
  </r>
  <r>
    <s v="ST085"/>
    <s v="Isha Ghosh"/>
    <n v="31"/>
    <n v="84"/>
    <n v="63"/>
    <n v="80"/>
    <n v="66"/>
    <s v="12"/>
    <n v="324"/>
    <n v="64.8"/>
    <x v="1"/>
  </r>
  <r>
    <s v="ST086"/>
    <s v="Krishna Verma"/>
    <n v="35"/>
    <n v="76"/>
    <n v="76"/>
    <n v="30"/>
    <n v="85"/>
    <s v="12"/>
    <n v="302"/>
    <n v="60.4"/>
    <x v="1"/>
  </r>
  <r>
    <s v="ST087"/>
    <s v="Anika Pillai"/>
    <n v="98"/>
    <n v="37"/>
    <n v="51"/>
    <n v="35"/>
    <n v="40"/>
    <s v="12"/>
    <n v="261"/>
    <n v="52.2"/>
    <x v="0"/>
  </r>
  <r>
    <s v="ST088"/>
    <s v="Aarav Patel"/>
    <n v="88"/>
    <n v="83"/>
    <n v="62"/>
    <n v="35"/>
    <n v="58"/>
    <s v="12"/>
    <n v="326"/>
    <n v="65.2"/>
    <x v="1"/>
  </r>
  <r>
    <s v="ST089"/>
    <s v="Myra Bansal"/>
    <n v="60"/>
    <n v="38"/>
    <n v="64"/>
    <n v="63"/>
    <n v="78"/>
    <s v="12"/>
    <n v="303"/>
    <n v="60.6"/>
    <x v="1"/>
  </r>
  <r>
    <s v="ST090"/>
    <s v="Meera Das"/>
    <n v="84"/>
    <n v="98"/>
    <n v="56"/>
    <n v="53"/>
    <n v="78"/>
    <s v="12"/>
    <n v="369"/>
    <n v="73.8"/>
    <x v="1"/>
  </r>
  <r>
    <s v="ST091"/>
    <s v="Sara Bose"/>
    <n v="98"/>
    <n v="82"/>
    <n v="40"/>
    <n v="85"/>
    <n v="56"/>
    <s v="12"/>
    <n v="361"/>
    <n v="72.2"/>
    <x v="1"/>
  </r>
  <r>
    <s v="ST092"/>
    <s v="Myra Iyer"/>
    <n v="92"/>
    <n v="86"/>
    <n v="36"/>
    <n v="96"/>
    <n v="54"/>
    <s v="12"/>
    <n v="364"/>
    <n v="72.8"/>
    <x v="1"/>
  </r>
  <r>
    <s v="ST093"/>
    <s v="Aarav Malhotra"/>
    <n v="38"/>
    <n v="74"/>
    <n v="62"/>
    <n v="37"/>
    <n v="35"/>
    <s v="12"/>
    <n v="246"/>
    <n v="49.2"/>
    <x v="0"/>
  </r>
  <r>
    <s v="ST094"/>
    <s v="Diya Pillai"/>
    <n v="71"/>
    <n v="41"/>
    <n v="84"/>
    <n v="30"/>
    <n v="84"/>
    <s v="12"/>
    <n v="310"/>
    <n v="62"/>
    <x v="1"/>
  </r>
  <r>
    <s v="ST095"/>
    <s v="Kavya Sharma"/>
    <n v="85"/>
    <n v="67"/>
    <n v="93"/>
    <n v="76"/>
    <n v="62"/>
    <s v="12"/>
    <n v="383"/>
    <n v="76.599999999999994"/>
    <x v="2"/>
  </r>
  <r>
    <s v="ST096"/>
    <s v="Reyansh Malhotra"/>
    <n v="56"/>
    <n v="33"/>
    <n v="87"/>
    <n v="68"/>
    <n v="51"/>
    <s v="12"/>
    <n v="295"/>
    <n v="59"/>
    <x v="0"/>
  </r>
  <r>
    <s v="ST097"/>
    <s v="Riya Verma"/>
    <n v="62"/>
    <n v="35"/>
    <n v="93"/>
    <n v="87"/>
    <n v="85"/>
    <s v="12"/>
    <n v="362"/>
    <n v="72.400000000000006"/>
    <x v="1"/>
  </r>
  <r>
    <s v="ST098"/>
    <s v="Kavya Bose"/>
    <n v="87"/>
    <n v="94"/>
    <n v="33"/>
    <n v="31"/>
    <n v="57"/>
    <s v="12"/>
    <n v="302"/>
    <n v="60.4"/>
    <x v="1"/>
  </r>
  <r>
    <s v="ST099"/>
    <s v="Anika Reddy"/>
    <n v="45"/>
    <n v="87"/>
    <n v="70"/>
    <n v="77"/>
    <n v="80"/>
    <s v="12"/>
    <n v="359"/>
    <n v="71.8"/>
    <x v="1"/>
  </r>
  <r>
    <s v="ST100"/>
    <s v="Aarav Nair"/>
    <n v="98"/>
    <n v="45"/>
    <n v="72"/>
    <n v="51"/>
    <n v="68"/>
    <s v="12"/>
    <n v="334"/>
    <n v="66.8"/>
    <x v="1"/>
  </r>
  <r>
    <s v="ST101"/>
    <s v="Aadhya Bose"/>
    <n v="47"/>
    <n v="61"/>
    <n v="54"/>
    <n v="76"/>
    <n v="76"/>
    <s v="12"/>
    <n v="314"/>
    <n v="62.8"/>
    <x v="1"/>
  </r>
  <r>
    <s v="ST102"/>
    <s v="Krishna Malhotra"/>
    <n v="75"/>
    <n v="57"/>
    <n v="68"/>
    <n v="48"/>
    <n v="100"/>
    <s v="12"/>
    <n v="348"/>
    <n v="69.599999999999994"/>
    <x v="1"/>
  </r>
  <r>
    <s v="ST103"/>
    <s v="Aditya Malhotra"/>
    <n v="70"/>
    <n v="79"/>
    <n v="78"/>
    <n v="61"/>
    <n v="33"/>
    <s v="12"/>
    <n v="321"/>
    <n v="64.2"/>
    <x v="1"/>
  </r>
  <r>
    <s v="ST104"/>
    <s v="Vivaan Bose"/>
    <n v="100"/>
    <n v="51"/>
    <n v="74"/>
    <n v="69"/>
    <n v="77"/>
    <s v="12"/>
    <n v="371"/>
    <n v="74.2"/>
    <x v="1"/>
  </r>
  <r>
    <s v="ST105"/>
    <s v="Reyansh Malhotra"/>
    <n v="62"/>
    <n v="40"/>
    <n v="58"/>
    <n v="36"/>
    <n v="32"/>
    <s v="12"/>
    <n v="228"/>
    <n v="45.6"/>
    <x v="0"/>
  </r>
  <r>
    <s v="ST106"/>
    <s v="Arjun Nair"/>
    <n v="73"/>
    <n v="80"/>
    <n v="84"/>
    <n v="65"/>
    <n v="80"/>
    <s v="12"/>
    <n v="382"/>
    <n v="76.400000000000006"/>
    <x v="2"/>
  </r>
  <r>
    <s v="ST107"/>
    <s v="Anika Iyer"/>
    <n v="76"/>
    <n v="100"/>
    <n v="44"/>
    <n v="99"/>
    <n v="37"/>
    <s v="12"/>
    <n v="356"/>
    <n v="71.2"/>
    <x v="1"/>
  </r>
  <r>
    <s v="ST108"/>
    <s v="Vivaan Das"/>
    <n v="30"/>
    <n v="36"/>
    <n v="99"/>
    <n v="45"/>
    <n v="72"/>
    <s v="12"/>
    <n v="282"/>
    <n v="56.4"/>
    <x v="0"/>
  </r>
  <r>
    <s v="ST109"/>
    <s v="Vihaan Patel"/>
    <n v="86"/>
    <n v="42"/>
    <n v="76"/>
    <n v="32"/>
    <n v="73"/>
    <s v="12"/>
    <n v="309"/>
    <n v="61.8"/>
    <x v="1"/>
  </r>
  <r>
    <s v="ST110"/>
    <s v="Ishaan Verma"/>
    <n v="93"/>
    <n v="64"/>
    <n v="76"/>
    <n v="50"/>
    <n v="59"/>
    <s v="12"/>
    <n v="342"/>
    <n v="68.400000000000006"/>
    <x v="1"/>
  </r>
  <r>
    <s v="ST111"/>
    <s v="Isha Sinha"/>
    <n v="88"/>
    <n v="80"/>
    <n v="97"/>
    <n v="42"/>
    <n v="35"/>
    <s v="12"/>
    <n v="342"/>
    <n v="68.400000000000006"/>
    <x v="1"/>
  </r>
  <r>
    <s v="ST112"/>
    <s v="Ishaan Patel"/>
    <n v="32"/>
    <n v="63"/>
    <n v="82"/>
    <n v="78"/>
    <n v="94"/>
    <s v="12"/>
    <n v="349"/>
    <n v="69.8"/>
    <x v="1"/>
  </r>
  <r>
    <s v="ST113"/>
    <s v="Krishna Ghosh"/>
    <n v="85"/>
    <n v="92"/>
    <n v="81"/>
    <n v="80"/>
    <n v="93"/>
    <s v="12"/>
    <n v="431"/>
    <n v="86.2"/>
    <x v="2"/>
  </r>
  <r>
    <s v="ST114"/>
    <s v="Rohan Sinha"/>
    <n v="47"/>
    <n v="99"/>
    <n v="70"/>
    <n v="46"/>
    <n v="80"/>
    <s v="12"/>
    <n v="342"/>
    <n v="68.400000000000006"/>
    <x v="1"/>
  </r>
  <r>
    <s v="ST115"/>
    <s v="Isha Verma"/>
    <n v="79"/>
    <n v="41"/>
    <n v="53"/>
    <n v="55"/>
    <n v="62"/>
    <s v="12"/>
    <n v="290"/>
    <n v="58"/>
    <x v="0"/>
  </r>
  <r>
    <s v="ST116"/>
    <s v="Isha Kapoor"/>
    <n v="93"/>
    <n v="91"/>
    <n v="46"/>
    <n v="30"/>
    <n v="98"/>
    <s v="12"/>
    <n v="358"/>
    <n v="71.599999999999994"/>
    <x v="1"/>
  </r>
  <r>
    <s v="ST117"/>
    <s v="Sai Pillai"/>
    <n v="52"/>
    <n v="76"/>
    <n v="64"/>
    <n v="82"/>
    <n v="94"/>
    <s v="12"/>
    <n v="368"/>
    <n v="73.599999999999994"/>
    <x v="1"/>
  </r>
  <r>
    <s v="ST118"/>
    <s v="Sara Mishra"/>
    <n v="90"/>
    <n v="33"/>
    <n v="67"/>
    <n v="75"/>
    <n v="79"/>
    <s v="12"/>
    <n v="344"/>
    <n v="68.8"/>
    <x v="1"/>
  </r>
  <r>
    <s v="ST119"/>
    <s v="Isha Das"/>
    <n v="68"/>
    <n v="76"/>
    <n v="61"/>
    <n v="57"/>
    <n v="74"/>
    <s v="12"/>
    <n v="336"/>
    <n v="67.2"/>
    <x v="1"/>
  </r>
  <r>
    <s v="ST120"/>
    <s v="Myra Bose"/>
    <n v="90"/>
    <n v="86"/>
    <n v="72"/>
    <n v="97"/>
    <n v="87"/>
    <s v="12"/>
    <n v="432"/>
    <n v="86.4"/>
    <x v="2"/>
  </r>
  <r>
    <s v="ST121"/>
    <s v="Ishaan Kapoor"/>
    <n v="38"/>
    <n v="70"/>
    <n v="72"/>
    <n v="99"/>
    <n v="81"/>
    <s v="12"/>
    <n v="360"/>
    <n v="72"/>
    <x v="1"/>
  </r>
  <r>
    <s v="ST122"/>
    <s v="Riya Iyer"/>
    <n v="30"/>
    <n v="63"/>
    <n v="95"/>
    <n v="77"/>
    <n v="66"/>
    <s v="12"/>
    <n v="331"/>
    <n v="66.2"/>
    <x v="1"/>
  </r>
  <r>
    <s v="ST123"/>
    <s v="Isha Iyer"/>
    <n v="47"/>
    <n v="43"/>
    <n v="47"/>
    <n v="64"/>
    <n v="40"/>
    <s v="12"/>
    <n v="241"/>
    <n v="48.2"/>
    <x v="0"/>
  </r>
  <r>
    <s v="ST124"/>
    <s v="Riya Patel"/>
    <n v="91"/>
    <n v="67"/>
    <n v="51"/>
    <n v="72"/>
    <n v="93"/>
    <s v="12"/>
    <n v="374"/>
    <n v="74.8"/>
    <x v="1"/>
  </r>
  <r>
    <s v="ST125"/>
    <s v="Arjun Gupta"/>
    <n v="37"/>
    <n v="99"/>
    <n v="80"/>
    <n v="34"/>
    <n v="68"/>
    <s v="12"/>
    <n v="318"/>
    <n v="63.6"/>
    <x v="1"/>
  </r>
  <r>
    <s v="ST126"/>
    <s v="Sai Patel"/>
    <n v="30"/>
    <n v="37"/>
    <n v="39"/>
    <n v="57"/>
    <n v="68"/>
    <s v="12"/>
    <n v="231"/>
    <n v="46.2"/>
    <x v="0"/>
  </r>
  <r>
    <s v="ST127"/>
    <s v="Sara Kapoor"/>
    <n v="94"/>
    <n v="98"/>
    <n v="81"/>
    <n v="71"/>
    <n v="47"/>
    <s v="12"/>
    <n v="391"/>
    <n v="78.2"/>
    <x v="2"/>
  </r>
  <r>
    <s v="ST128"/>
    <s v="Vihaan Gupta"/>
    <n v="47"/>
    <n v="50"/>
    <n v="67"/>
    <n v="50"/>
    <n v="38"/>
    <s v="12"/>
    <n v="252"/>
    <n v="50.4"/>
    <x v="0"/>
  </r>
  <r>
    <s v="ST129"/>
    <s v="Rohan Malhotra"/>
    <n v="69"/>
    <n v="84"/>
    <n v="62"/>
    <n v="54"/>
    <n v="92"/>
    <s v="12"/>
    <n v="361"/>
    <n v="72.2"/>
    <x v="1"/>
  </r>
  <r>
    <s v="ST130"/>
    <s v="Meera Singh"/>
    <n v="89"/>
    <n v="52"/>
    <n v="87"/>
    <n v="39"/>
    <n v="71"/>
    <s v="12"/>
    <n v="338"/>
    <n v="67.599999999999994"/>
    <x v="1"/>
  </r>
  <r>
    <s v="ST131"/>
    <s v="Sai Verma"/>
    <n v="79"/>
    <n v="50"/>
    <n v="44"/>
    <n v="68"/>
    <n v="32"/>
    <s v="12"/>
    <n v="273"/>
    <n v="54.6"/>
    <x v="0"/>
  </r>
  <r>
    <s v="ST132"/>
    <s v="Riya Kapoor"/>
    <n v="41"/>
    <n v="69"/>
    <n v="53"/>
    <n v="94"/>
    <n v="57"/>
    <s v="12"/>
    <n v="314"/>
    <n v="62.8"/>
    <x v="1"/>
  </r>
  <r>
    <s v="ST133"/>
    <s v="Vivaan Verma"/>
    <n v="98"/>
    <n v="51"/>
    <n v="42"/>
    <n v="63"/>
    <n v="63"/>
    <s v="12"/>
    <n v="317"/>
    <n v="63.4"/>
    <x v="1"/>
  </r>
  <r>
    <s v="ST134"/>
    <s v="Vivaan Gupta"/>
    <n v="80"/>
    <n v="32"/>
    <n v="31"/>
    <n v="97"/>
    <n v="51"/>
    <s v="12"/>
    <n v="291"/>
    <n v="58.2"/>
    <x v="0"/>
  </r>
  <r>
    <s v="ST135"/>
    <s v="Isha Verma"/>
    <n v="53"/>
    <n v="64"/>
    <n v="70"/>
    <n v="76"/>
    <n v="85"/>
    <s v="12"/>
    <n v="348"/>
    <n v="69.599999999999994"/>
    <x v="1"/>
  </r>
  <r>
    <s v="ST136"/>
    <s v="Vihaan Bose"/>
    <n v="73"/>
    <n v="36"/>
    <n v="66"/>
    <n v="63"/>
    <n v="98"/>
    <s v="12"/>
    <n v="336"/>
    <n v="67.2"/>
    <x v="1"/>
  </r>
  <r>
    <s v="ST137"/>
    <s v="Aarav Joshi"/>
    <n v="39"/>
    <n v="90"/>
    <n v="88"/>
    <n v="95"/>
    <n v="43"/>
    <s v="12"/>
    <n v="355"/>
    <n v="71"/>
    <x v="1"/>
  </r>
  <r>
    <s v="ST138"/>
    <s v="Meera Sinha"/>
    <n v="88"/>
    <n v="80"/>
    <n v="58"/>
    <n v="34"/>
    <n v="35"/>
    <s v="12"/>
    <n v="295"/>
    <n v="59"/>
    <x v="0"/>
  </r>
  <r>
    <s v="ST139"/>
    <s v="Ishaan Chopra"/>
    <n v="100"/>
    <n v="96"/>
    <n v="66"/>
    <n v="73"/>
    <n v="76"/>
    <s v="12"/>
    <n v="411"/>
    <n v="82.2"/>
    <x v="2"/>
  </r>
  <r>
    <s v="ST140"/>
    <s v="Aditya Iyer"/>
    <n v="77"/>
    <n v="96"/>
    <n v="33"/>
    <n v="48"/>
    <n v="54"/>
    <s v="12"/>
    <n v="308"/>
    <n v="61.6"/>
    <x v="1"/>
  </r>
  <r>
    <s v="ST141"/>
    <s v="Sai Das"/>
    <n v="80"/>
    <n v="85"/>
    <n v="56"/>
    <n v="38"/>
    <n v="87"/>
    <s v="12"/>
    <n v="346"/>
    <n v="69.2"/>
    <x v="1"/>
  </r>
  <r>
    <s v="ST142"/>
    <s v="Diya Kapoor"/>
    <n v="92"/>
    <n v="45"/>
    <n v="60"/>
    <n v="98"/>
    <n v="45"/>
    <s v="12"/>
    <n v="340"/>
    <n v="68"/>
    <x v="1"/>
  </r>
  <r>
    <s v="ST143"/>
    <s v="Anika Mehta"/>
    <n v="68"/>
    <n v="53"/>
    <n v="39"/>
    <n v="33"/>
    <n v="90"/>
    <s v="12"/>
    <n v="283"/>
    <n v="56.6"/>
    <x v="0"/>
  </r>
  <r>
    <s v="ST144"/>
    <s v="Aarav Verma"/>
    <n v="46"/>
    <n v="79"/>
    <n v="82"/>
    <n v="67"/>
    <n v="36"/>
    <s v="12"/>
    <n v="310"/>
    <n v="62"/>
    <x v="1"/>
  </r>
  <r>
    <s v="ST145"/>
    <s v="Arjun Pillai"/>
    <n v="78"/>
    <n v="78"/>
    <n v="45"/>
    <n v="86"/>
    <n v="65"/>
    <s v="12"/>
    <n v="352"/>
    <n v="70.400000000000006"/>
    <x v="1"/>
  </r>
  <r>
    <s v="ST146"/>
    <s v="Ishaan Gupta"/>
    <n v="78"/>
    <n v="88"/>
    <n v="49"/>
    <n v="85"/>
    <n v="93"/>
    <s v="12"/>
    <n v="393"/>
    <n v="78.599999999999994"/>
    <x v="2"/>
  </r>
  <r>
    <s v="ST147"/>
    <s v="Sara Mishra"/>
    <n v="69"/>
    <n v="92"/>
    <n v="52"/>
    <n v="78"/>
    <n v="52"/>
    <s v="12"/>
    <n v="343"/>
    <n v="68.599999999999994"/>
    <x v="1"/>
  </r>
  <r>
    <s v="ST148"/>
    <s v="Vihaan Bansal"/>
    <n v="85"/>
    <n v="81"/>
    <n v="61"/>
    <n v="62"/>
    <n v="40"/>
    <s v="12"/>
    <n v="329"/>
    <n v="65.8"/>
    <x v="1"/>
  </r>
  <r>
    <s v="ST149"/>
    <s v="Isha Bansal"/>
    <n v="44"/>
    <n v="40"/>
    <n v="89"/>
    <n v="51"/>
    <n v="74"/>
    <s v="12"/>
    <n v="298"/>
    <n v="59.6"/>
    <x v="0"/>
  </r>
  <r>
    <s v="ST150"/>
    <s v="Aarav Mishra"/>
    <n v="30"/>
    <n v="41"/>
    <n v="65"/>
    <n v="50"/>
    <n v="45"/>
    <s v="12"/>
    <n v="231"/>
    <n v="46.2"/>
    <x v="0"/>
  </r>
  <r>
    <s v="ST151"/>
    <s v="Anika Gupta"/>
    <n v="58"/>
    <n v="71"/>
    <n v="56"/>
    <n v="80"/>
    <n v="56"/>
    <s v="12"/>
    <n v="321"/>
    <n v="64.2"/>
    <x v="1"/>
  </r>
  <r>
    <s v="ST152"/>
    <s v="Ananya Patel"/>
    <n v="39"/>
    <n v="62"/>
    <n v="57"/>
    <n v="48"/>
    <n v="39"/>
    <s v="12"/>
    <n v="245"/>
    <n v="49"/>
    <x v="0"/>
  </r>
  <r>
    <s v="ST153"/>
    <s v="Isha Mishra"/>
    <n v="54"/>
    <n v="30"/>
    <n v="62"/>
    <n v="47"/>
    <n v="42"/>
    <s v="12"/>
    <n v="235"/>
    <n v="47"/>
    <x v="0"/>
  </r>
  <r>
    <s v="ST154"/>
    <s v="Anika Mehta"/>
    <n v="68"/>
    <n v="70"/>
    <n v="59"/>
    <n v="42"/>
    <n v="87"/>
    <s v="12"/>
    <n v="326"/>
    <n v="65.2"/>
    <x v="1"/>
  </r>
  <r>
    <s v="ST155"/>
    <s v="Kavya Sharma"/>
    <n v="34"/>
    <n v="35"/>
    <n v="39"/>
    <n v="35"/>
    <n v="54"/>
    <s v="12"/>
    <n v="197"/>
    <n v="39.4"/>
    <x v="4"/>
  </r>
  <r>
    <s v="ST156"/>
    <s v="Kavya Gupta"/>
    <n v="46"/>
    <n v="52"/>
    <n v="30"/>
    <n v="72"/>
    <n v="94"/>
    <s v="12"/>
    <n v="294"/>
    <n v="58.8"/>
    <x v="0"/>
  </r>
  <r>
    <s v="ST157"/>
    <s v="Aadhya Nair"/>
    <n v="72"/>
    <n v="56"/>
    <n v="34"/>
    <n v="53"/>
    <n v="52"/>
    <s v="12"/>
    <n v="267"/>
    <n v="53.4"/>
    <x v="0"/>
  </r>
  <r>
    <s v="ST158"/>
    <s v="Vivaan Das"/>
    <n v="99"/>
    <n v="71"/>
    <n v="42"/>
    <n v="89"/>
    <n v="81"/>
    <s v="12"/>
    <n v="382"/>
    <n v="76.400000000000006"/>
    <x v="2"/>
  </r>
  <r>
    <s v="ST159"/>
    <s v="Kavya Joshi"/>
    <n v="67"/>
    <n v="68"/>
    <n v="65"/>
    <n v="91"/>
    <n v="96"/>
    <s v="12"/>
    <n v="387"/>
    <n v="77.400000000000006"/>
    <x v="2"/>
  </r>
  <r>
    <s v="ST160"/>
    <s v="Sara Sinha"/>
    <n v="44"/>
    <n v="76"/>
    <n v="76"/>
    <n v="91"/>
    <n v="60"/>
    <s v="12"/>
    <n v="347"/>
    <n v="69.400000000000006"/>
    <x v="1"/>
  </r>
  <r>
    <s v="ST161"/>
    <s v="Ananya Singh"/>
    <n v="62"/>
    <n v="71"/>
    <n v="64"/>
    <n v="37"/>
    <n v="98"/>
    <s v="12"/>
    <n v="332"/>
    <n v="66.400000000000006"/>
    <x v="1"/>
  </r>
  <r>
    <s v="ST162"/>
    <s v="Vihaan Nair"/>
    <n v="72"/>
    <n v="36"/>
    <n v="79"/>
    <n v="35"/>
    <n v="48"/>
    <s v="12"/>
    <n v="270"/>
    <n v="54"/>
    <x v="0"/>
  </r>
  <r>
    <s v="ST163"/>
    <s v="Anika Mishra"/>
    <n v="96"/>
    <n v="44"/>
    <n v="48"/>
    <n v="41"/>
    <n v="85"/>
    <s v="12"/>
    <n v="314"/>
    <n v="62.8"/>
    <x v="1"/>
  </r>
  <r>
    <s v="ST164"/>
    <s v="Krishna Mehta"/>
    <n v="72"/>
    <n v="30"/>
    <n v="74"/>
    <n v="92"/>
    <n v="71"/>
    <s v="12"/>
    <n v="339"/>
    <n v="67.8"/>
    <x v="1"/>
  </r>
  <r>
    <s v="ST165"/>
    <s v="Myra Bansal"/>
    <n v="63"/>
    <n v="39"/>
    <n v="76"/>
    <n v="68"/>
    <n v="36"/>
    <s v="12"/>
    <n v="282"/>
    <n v="56.4"/>
    <x v="0"/>
  </r>
  <r>
    <s v="ST166"/>
    <s v="Reyansh Nair"/>
    <n v="95"/>
    <n v="43"/>
    <n v="99"/>
    <n v="31"/>
    <n v="57"/>
    <s v="12"/>
    <n v="325"/>
    <n v="65"/>
    <x v="1"/>
  </r>
  <r>
    <s v="ST167"/>
    <s v="Sara Gupta"/>
    <n v="35"/>
    <n v="35"/>
    <n v="65"/>
    <n v="65"/>
    <n v="40"/>
    <s v="12"/>
    <n v="240"/>
    <n v="48"/>
    <x v="0"/>
  </r>
  <r>
    <s v="ST168"/>
    <s v="Sara Iyer"/>
    <n v="53"/>
    <n v="73"/>
    <n v="88"/>
    <n v="100"/>
    <n v="55"/>
    <s v="12"/>
    <n v="369"/>
    <n v="73.8"/>
    <x v="1"/>
  </r>
  <r>
    <s v="ST169"/>
    <s v="Aditya Nair"/>
    <n v="85"/>
    <n v="82"/>
    <n v="43"/>
    <n v="46"/>
    <n v="52"/>
    <s v="12"/>
    <n v="308"/>
    <n v="61.6"/>
    <x v="1"/>
  </r>
  <r>
    <s v="ST170"/>
    <s v="Diya Pillai"/>
    <n v="97"/>
    <n v="85"/>
    <n v="85"/>
    <n v="88"/>
    <n v="63"/>
    <s v="12"/>
    <n v="418"/>
    <n v="83.6"/>
    <x v="2"/>
  </r>
  <r>
    <s v="ST171"/>
    <s v="Sai Patel"/>
    <n v="99"/>
    <n v="53"/>
    <n v="82"/>
    <n v="79"/>
    <n v="48"/>
    <s v="12"/>
    <n v="361"/>
    <n v="72.2"/>
    <x v="1"/>
  </r>
  <r>
    <s v="ST172"/>
    <s v="Sara Sinha"/>
    <n v="46"/>
    <n v="58"/>
    <n v="79"/>
    <n v="36"/>
    <n v="85"/>
    <s v="12"/>
    <n v="304"/>
    <n v="60.8"/>
    <x v="1"/>
  </r>
  <r>
    <s v="ST173"/>
    <s v="Isha Iyer"/>
    <n v="82"/>
    <n v="85"/>
    <n v="40"/>
    <n v="68"/>
    <n v="42"/>
    <s v="12"/>
    <n v="317"/>
    <n v="63.4"/>
    <x v="1"/>
  </r>
  <r>
    <s v="ST174"/>
    <s v="Ananya Joshi"/>
    <n v="93"/>
    <n v="72"/>
    <n v="86"/>
    <n v="34"/>
    <n v="100"/>
    <s v="12"/>
    <n v="385"/>
    <n v="77"/>
    <x v="2"/>
  </r>
  <r>
    <s v="ST175"/>
    <s v="Diya Mehta"/>
    <n v="41"/>
    <n v="55"/>
    <n v="51"/>
    <n v="98"/>
    <n v="40"/>
    <s v="12"/>
    <n v="285"/>
    <n v="57"/>
    <x v="0"/>
  </r>
  <r>
    <s v="ST176"/>
    <s v="Ishaan Bansal"/>
    <n v="50"/>
    <n v="98"/>
    <n v="63"/>
    <n v="32"/>
    <n v="62"/>
    <s v="12"/>
    <n v="305"/>
    <n v="61"/>
    <x v="1"/>
  </r>
  <r>
    <s v="ST177"/>
    <s v="Rohan Bose"/>
    <n v="42"/>
    <n v="61"/>
    <n v="59"/>
    <n v="71"/>
    <n v="65"/>
    <s v="12"/>
    <n v="298"/>
    <n v="59.6"/>
    <x v="0"/>
  </r>
  <r>
    <s v="ST178"/>
    <s v="Krishna Verma"/>
    <n v="88"/>
    <n v="82"/>
    <n v="86"/>
    <n v="59"/>
    <n v="76"/>
    <s v="12"/>
    <n v="391"/>
    <n v="78.2"/>
    <x v="2"/>
  </r>
  <r>
    <s v="ST179"/>
    <s v="Rohan Joshi"/>
    <n v="78"/>
    <n v="92"/>
    <n v="73"/>
    <n v="58"/>
    <n v="71"/>
    <s v="12"/>
    <n v="372"/>
    <n v="74.400000000000006"/>
    <x v="1"/>
  </r>
  <r>
    <s v="ST180"/>
    <s v="Rohan Ghosh"/>
    <n v="52"/>
    <n v="51"/>
    <n v="32"/>
    <n v="63"/>
    <n v="49"/>
    <s v="12"/>
    <n v="247"/>
    <n v="49.4"/>
    <x v="0"/>
  </r>
  <r>
    <s v="ST181"/>
    <s v="Krishna Iyer"/>
    <n v="80"/>
    <n v="88"/>
    <n v="89"/>
    <n v="73"/>
    <n v="79"/>
    <s v="12"/>
    <n v="409"/>
    <n v="81.8"/>
    <x v="2"/>
  </r>
  <r>
    <s v="ST182"/>
    <s v="Vivaan Pillai"/>
    <n v="55"/>
    <n v="48"/>
    <n v="93"/>
    <n v="37"/>
    <n v="70"/>
    <s v="12"/>
    <n v="303"/>
    <n v="60.6"/>
    <x v="1"/>
  </r>
  <r>
    <s v="ST183"/>
    <s v="Isha Sinha"/>
    <n v="97"/>
    <n v="57"/>
    <n v="52"/>
    <n v="70"/>
    <n v="36"/>
    <s v="12"/>
    <n v="312"/>
    <n v="62.4"/>
    <x v="1"/>
  </r>
  <r>
    <s v="ST184"/>
    <s v="Aditya Bose"/>
    <n v="71"/>
    <n v="60"/>
    <n v="61"/>
    <n v="56"/>
    <n v="94"/>
    <s v="12"/>
    <n v="342"/>
    <n v="68.400000000000006"/>
    <x v="1"/>
  </r>
  <r>
    <s v="ST185"/>
    <s v="Aadhya Nair"/>
    <n v="42"/>
    <n v="75"/>
    <n v="49"/>
    <n v="94"/>
    <n v="70"/>
    <s v="12"/>
    <n v="330"/>
    <n v="66"/>
    <x v="1"/>
  </r>
  <r>
    <s v="ST186"/>
    <s v="Arjun Sharma"/>
    <n v="65"/>
    <n v="49"/>
    <n v="56"/>
    <n v="62"/>
    <n v="93"/>
    <s v="12"/>
    <n v="325"/>
    <n v="65"/>
    <x v="1"/>
  </r>
  <r>
    <s v="ST187"/>
    <s v="Anika Verma"/>
    <n v="62"/>
    <n v="99"/>
    <n v="86"/>
    <n v="76"/>
    <n v="50"/>
    <s v="12"/>
    <n v="373"/>
    <n v="74.599999999999994"/>
    <x v="1"/>
  </r>
  <r>
    <s v="ST188"/>
    <s v="Vivaan Kapoor"/>
    <n v="38"/>
    <n v="63"/>
    <n v="94"/>
    <n v="100"/>
    <n v="44"/>
    <s v="12"/>
    <n v="339"/>
    <n v="67.8"/>
    <x v="1"/>
  </r>
  <r>
    <s v="ST189"/>
    <s v="Myra Iyer"/>
    <n v="62"/>
    <n v="70"/>
    <n v="74"/>
    <n v="31"/>
    <n v="78"/>
    <s v="12"/>
    <n v="315"/>
    <n v="63"/>
    <x v="1"/>
  </r>
  <r>
    <s v="ST190"/>
    <s v="Ananya Bansal"/>
    <n v="64"/>
    <n v="80"/>
    <n v="81"/>
    <n v="59"/>
    <n v="80"/>
    <s v="12"/>
    <n v="364"/>
    <n v="72.8"/>
    <x v="1"/>
  </r>
  <r>
    <s v="ST191"/>
    <s v="Arjun Chopra"/>
    <n v="66"/>
    <n v="83"/>
    <n v="73"/>
    <n v="46"/>
    <n v="80"/>
    <s v="12"/>
    <n v="348"/>
    <n v="69.599999999999994"/>
    <x v="1"/>
  </r>
  <r>
    <s v="ST192"/>
    <s v="Sai Chopra"/>
    <n v="98"/>
    <n v="84"/>
    <n v="84"/>
    <n v="78"/>
    <n v="83"/>
    <s v="12"/>
    <n v="427"/>
    <n v="85.4"/>
    <x v="2"/>
  </r>
  <r>
    <s v="ST193"/>
    <s v="Ananya Reddy"/>
    <n v="49"/>
    <n v="36"/>
    <n v="67"/>
    <n v="46"/>
    <n v="48"/>
    <s v="12"/>
    <n v="246"/>
    <n v="49.2"/>
    <x v="0"/>
  </r>
  <r>
    <s v="ST194"/>
    <s v="Myra Chopra"/>
    <n v="67"/>
    <n v="86"/>
    <n v="92"/>
    <n v="57"/>
    <n v="38"/>
    <s v="12"/>
    <n v="340"/>
    <n v="68"/>
    <x v="1"/>
  </r>
  <r>
    <s v="ST195"/>
    <s v="Reyansh Malhotra"/>
    <n v="67"/>
    <n v="43"/>
    <n v="66"/>
    <n v="35"/>
    <n v="77"/>
    <s v="12"/>
    <n v="288"/>
    <n v="57.6"/>
    <x v="0"/>
  </r>
  <r>
    <s v="ST196"/>
    <s v="Vihaan Malhotra"/>
    <n v="69"/>
    <n v="47"/>
    <n v="86"/>
    <n v="38"/>
    <n v="94"/>
    <s v="12"/>
    <n v="334"/>
    <n v="66.8"/>
    <x v="1"/>
  </r>
  <r>
    <s v="ST197"/>
    <s v="Vihaan Iyer"/>
    <n v="59"/>
    <n v="70"/>
    <n v="45"/>
    <n v="41"/>
    <n v="67"/>
    <s v="12"/>
    <n v="282"/>
    <n v="56.4"/>
    <x v="0"/>
  </r>
  <r>
    <s v="ST198"/>
    <s v="Ishaan Mehta"/>
    <n v="33"/>
    <n v="83"/>
    <n v="88"/>
    <n v="88"/>
    <n v="50"/>
    <s v="12"/>
    <n v="342"/>
    <n v="68.400000000000006"/>
    <x v="1"/>
  </r>
  <r>
    <s v="ST199"/>
    <s v="Sai Verma"/>
    <n v="85"/>
    <n v="43"/>
    <n v="42"/>
    <n v="57"/>
    <n v="86"/>
    <s v="12"/>
    <n v="313"/>
    <n v="62.6"/>
    <x v="1"/>
  </r>
  <r>
    <s v="ST200"/>
    <s v="Ananya Iyer"/>
    <n v="42"/>
    <n v="72"/>
    <n v="93"/>
    <n v="33"/>
    <n v="91"/>
    <s v="12"/>
    <n v="331"/>
    <n v="66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A08CE-474A-4ED4-8161-CD803BC6EF6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Grade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5B19F-BD7D-4325-9A31-B12AF4175BD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9">
  <location ref="A4:B9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3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Grade" fld="10" subtotal="count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10" type="button" dataOnly="0" labelOnly="1" outline="0" axis="axisRow" fieldPosition="0"/>
    </format>
    <format dxfId="6">
      <pivotArea dataOnly="0" labelOnly="1" outline="0" fieldPosition="0">
        <references count="1">
          <reference field="10" count="0"/>
        </references>
      </pivotArea>
    </format>
    <format dxfId="5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00F6-0AEA-44FF-8D12-733E85730500}">
  <dimension ref="A3:D23"/>
  <sheetViews>
    <sheetView workbookViewId="0">
      <selection activeCell="D23" sqref="D23"/>
    </sheetView>
  </sheetViews>
  <sheetFormatPr defaultRowHeight="14.4" x14ac:dyDescent="0.3"/>
  <cols>
    <col min="1" max="1" width="8.21875" bestFit="1" customWidth="1"/>
    <col min="2" max="2" width="13.88671875" bestFit="1" customWidth="1"/>
  </cols>
  <sheetData>
    <row r="3" spans="1:2" x14ac:dyDescent="0.3">
      <c r="A3" s="3" t="s">
        <v>10</v>
      </c>
      <c r="B3" t="s">
        <v>380</v>
      </c>
    </row>
    <row r="4" spans="1:2" x14ac:dyDescent="0.3">
      <c r="A4" t="s">
        <v>32</v>
      </c>
      <c r="B4">
        <v>28</v>
      </c>
    </row>
    <row r="5" spans="1:2" x14ac:dyDescent="0.3">
      <c r="A5" t="s">
        <v>54</v>
      </c>
      <c r="B5">
        <v>1</v>
      </c>
    </row>
    <row r="6" spans="1:2" x14ac:dyDescent="0.3">
      <c r="A6" t="s">
        <v>19</v>
      </c>
      <c r="B6">
        <v>115</v>
      </c>
    </row>
    <row r="7" spans="1:2" x14ac:dyDescent="0.3">
      <c r="A7" t="s">
        <v>14</v>
      </c>
      <c r="B7">
        <v>55</v>
      </c>
    </row>
    <row r="8" spans="1:2" x14ac:dyDescent="0.3">
      <c r="A8" t="s">
        <v>297</v>
      </c>
      <c r="B8">
        <v>1</v>
      </c>
    </row>
    <row r="23" spans="4:4" x14ac:dyDescent="0.3">
      <c r="D23" t="s">
        <v>387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213"/>
  <sheetViews>
    <sheetView topLeftCell="A88" zoomScale="85" zoomScaleNormal="99" workbookViewId="0">
      <selection activeCell="I10" sqref="I10"/>
    </sheetView>
  </sheetViews>
  <sheetFormatPr defaultRowHeight="14.4" x14ac:dyDescent="0.3"/>
  <cols>
    <col min="1" max="1" width="19.109375" customWidth="1"/>
    <col min="2" max="2" width="15.5546875" customWidth="1"/>
    <col min="3" max="3" width="13.44140625" customWidth="1"/>
    <col min="4" max="4" width="10.88671875" customWidth="1"/>
    <col min="5" max="5" width="11.21875" customWidth="1"/>
    <col min="6" max="6" width="15" customWidth="1"/>
    <col min="7" max="7" width="12.6640625" customWidth="1"/>
    <col min="10" max="10" width="10.88671875" customWidth="1"/>
  </cols>
  <sheetData>
    <row r="4" spans="1:12" x14ac:dyDescent="0.3">
      <c r="A4" s="8" t="s">
        <v>377</v>
      </c>
      <c r="B4" s="8"/>
      <c r="C4" s="8"/>
      <c r="D4" s="8"/>
    </row>
    <row r="5" spans="1:12" x14ac:dyDescent="0.3">
      <c r="A5" s="8" t="s">
        <v>378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8" t="s">
        <v>379</v>
      </c>
      <c r="B6" s="8"/>
      <c r="C6" s="8"/>
      <c r="D6" s="8"/>
      <c r="E6" s="8"/>
      <c r="F6" s="8"/>
      <c r="G6" s="8"/>
      <c r="H6" s="8"/>
      <c r="I6" s="8"/>
      <c r="J6" s="8"/>
      <c r="K6" s="8"/>
    </row>
    <row r="8" spans="1:12" x14ac:dyDescent="0.3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</row>
    <row r="9" spans="1:12" x14ac:dyDescent="0.3">
      <c r="A9" s="7" t="s">
        <v>11</v>
      </c>
      <c r="B9" s="2" t="s">
        <v>12</v>
      </c>
      <c r="C9" s="2">
        <v>58</v>
      </c>
      <c r="D9" s="2">
        <v>79</v>
      </c>
      <c r="E9" s="2">
        <v>57</v>
      </c>
      <c r="F9" s="2">
        <v>50</v>
      </c>
      <c r="G9" s="2">
        <v>52</v>
      </c>
      <c r="H9" s="2" t="s">
        <v>13</v>
      </c>
      <c r="I9" s="2">
        <f>SUM(C9:G9)</f>
        <v>296</v>
      </c>
      <c r="J9" s="2">
        <f>AVERAGE(C9:G9)</f>
        <v>59.2</v>
      </c>
      <c r="K9" s="2" t="str">
        <f>IF(J9&gt;=90,"A+",IF(J9&gt;=75,"A",IF(J9&gt;=60,"B",IF(J9&gt;=45,"C","Fail"))))</f>
        <v>C</v>
      </c>
    </row>
    <row r="10" spans="1:12" x14ac:dyDescent="0.3">
      <c r="A10" s="7" t="s">
        <v>15</v>
      </c>
      <c r="B10" s="2" t="s">
        <v>16</v>
      </c>
      <c r="C10" s="2">
        <v>32</v>
      </c>
      <c r="D10" s="2">
        <v>90</v>
      </c>
      <c r="E10" s="2">
        <v>78</v>
      </c>
      <c r="F10" s="2">
        <v>32</v>
      </c>
      <c r="G10" s="2">
        <v>31</v>
      </c>
      <c r="H10" s="2" t="s">
        <v>13</v>
      </c>
      <c r="I10" s="2">
        <f t="shared" ref="I10:I73" si="0">SUM(C10:G10)</f>
        <v>263</v>
      </c>
      <c r="J10" s="2">
        <f t="shared" ref="J10:J73" si="1">AVERAGE(C10:G10)</f>
        <v>52.6</v>
      </c>
      <c r="K10" s="2" t="str">
        <f t="shared" ref="K10:K73" si="2">IF(J10&gt;=90,"A+",IF(J10&gt;=75,"A",IF(J10&gt;=60,"B",IF(J10&gt;=45,"C","Fail"))))</f>
        <v>C</v>
      </c>
    </row>
    <row r="11" spans="1:12" x14ac:dyDescent="0.3">
      <c r="A11" s="7" t="s">
        <v>17</v>
      </c>
      <c r="B11" s="2" t="s">
        <v>18</v>
      </c>
      <c r="C11" s="2">
        <v>32</v>
      </c>
      <c r="D11" s="2">
        <v>60</v>
      </c>
      <c r="E11" s="2">
        <v>30</v>
      </c>
      <c r="F11" s="2">
        <v>94</v>
      </c>
      <c r="G11" s="2">
        <v>95</v>
      </c>
      <c r="H11" s="2" t="s">
        <v>13</v>
      </c>
      <c r="I11" s="2">
        <f t="shared" si="0"/>
        <v>311</v>
      </c>
      <c r="J11" s="2">
        <f t="shared" si="1"/>
        <v>62.2</v>
      </c>
      <c r="K11" s="2" t="str">
        <f t="shared" si="2"/>
        <v>B</v>
      </c>
    </row>
    <row r="12" spans="1:12" x14ac:dyDescent="0.3">
      <c r="A12" s="7" t="s">
        <v>20</v>
      </c>
      <c r="B12" s="2" t="s">
        <v>21</v>
      </c>
      <c r="C12" s="2">
        <v>79</v>
      </c>
      <c r="D12" s="2">
        <v>54</v>
      </c>
      <c r="E12" s="2">
        <v>41</v>
      </c>
      <c r="F12" s="2">
        <v>47</v>
      </c>
      <c r="G12" s="2">
        <v>85</v>
      </c>
      <c r="H12" s="2" t="s">
        <v>13</v>
      </c>
      <c r="I12" s="2">
        <f t="shared" si="0"/>
        <v>306</v>
      </c>
      <c r="J12" s="2">
        <f t="shared" si="1"/>
        <v>61.2</v>
      </c>
      <c r="K12" s="2" t="str">
        <f t="shared" si="2"/>
        <v>B</v>
      </c>
    </row>
    <row r="13" spans="1:12" x14ac:dyDescent="0.3">
      <c r="A13" s="7" t="s">
        <v>22</v>
      </c>
      <c r="B13" s="2" t="s">
        <v>23</v>
      </c>
      <c r="C13" s="2">
        <v>94</v>
      </c>
      <c r="D13" s="2">
        <v>34</v>
      </c>
      <c r="E13" s="2">
        <v>58</v>
      </c>
      <c r="F13" s="2">
        <v>41</v>
      </c>
      <c r="G13" s="2">
        <v>73</v>
      </c>
      <c r="H13" s="2" t="s">
        <v>13</v>
      </c>
      <c r="I13" s="2">
        <f t="shared" si="0"/>
        <v>300</v>
      </c>
      <c r="J13" s="2">
        <f t="shared" si="1"/>
        <v>60</v>
      </c>
      <c r="K13" s="2" t="str">
        <f t="shared" si="2"/>
        <v>B</v>
      </c>
    </row>
    <row r="14" spans="1:12" x14ac:dyDescent="0.3">
      <c r="A14" s="7" t="s">
        <v>24</v>
      </c>
      <c r="B14" s="2" t="s">
        <v>25</v>
      </c>
      <c r="C14" s="2">
        <v>50</v>
      </c>
      <c r="D14" s="2">
        <v>44</v>
      </c>
      <c r="E14" s="2">
        <v>90</v>
      </c>
      <c r="F14" s="2">
        <v>63</v>
      </c>
      <c r="G14" s="2">
        <v>60</v>
      </c>
      <c r="H14" s="2" t="s">
        <v>13</v>
      </c>
      <c r="I14" s="2">
        <f t="shared" si="0"/>
        <v>307</v>
      </c>
      <c r="J14" s="2">
        <f t="shared" si="1"/>
        <v>61.4</v>
      </c>
      <c r="K14" s="2" t="str">
        <f t="shared" si="2"/>
        <v>B</v>
      </c>
    </row>
    <row r="15" spans="1:12" x14ac:dyDescent="0.3">
      <c r="A15" s="7" t="s">
        <v>26</v>
      </c>
      <c r="B15" s="2" t="s">
        <v>27</v>
      </c>
      <c r="C15" s="2">
        <v>30</v>
      </c>
      <c r="D15" s="2">
        <v>93</v>
      </c>
      <c r="E15" s="2">
        <v>73</v>
      </c>
      <c r="F15" s="2">
        <v>57</v>
      </c>
      <c r="G15" s="2">
        <v>46</v>
      </c>
      <c r="H15" s="2" t="s">
        <v>13</v>
      </c>
      <c r="I15" s="2">
        <f t="shared" si="0"/>
        <v>299</v>
      </c>
      <c r="J15" s="2">
        <f t="shared" si="1"/>
        <v>59.8</v>
      </c>
      <c r="K15" s="2" t="str">
        <f t="shared" si="2"/>
        <v>C</v>
      </c>
    </row>
    <row r="16" spans="1:12" x14ac:dyDescent="0.3">
      <c r="A16" s="7" t="s">
        <v>28</v>
      </c>
      <c r="B16" s="2" t="s">
        <v>29</v>
      </c>
      <c r="C16" s="2">
        <v>48</v>
      </c>
      <c r="D16" s="2">
        <v>50</v>
      </c>
      <c r="E16" s="2">
        <v>35</v>
      </c>
      <c r="F16" s="2">
        <v>100</v>
      </c>
      <c r="G16" s="2">
        <v>74</v>
      </c>
      <c r="H16" s="2" t="s">
        <v>13</v>
      </c>
      <c r="I16" s="2">
        <f t="shared" si="0"/>
        <v>307</v>
      </c>
      <c r="J16" s="2">
        <f t="shared" si="1"/>
        <v>61.4</v>
      </c>
      <c r="K16" s="2" t="str">
        <f t="shared" si="2"/>
        <v>B</v>
      </c>
    </row>
    <row r="17" spans="1:11" x14ac:dyDescent="0.3">
      <c r="A17" s="7" t="s">
        <v>30</v>
      </c>
      <c r="B17" s="2" t="s">
        <v>31</v>
      </c>
      <c r="C17" s="2">
        <v>78</v>
      </c>
      <c r="D17" s="2">
        <v>46</v>
      </c>
      <c r="E17" s="2">
        <v>84</v>
      </c>
      <c r="F17" s="2">
        <v>81</v>
      </c>
      <c r="G17" s="2">
        <v>97</v>
      </c>
      <c r="H17" s="2" t="s">
        <v>13</v>
      </c>
      <c r="I17" s="2">
        <f t="shared" si="0"/>
        <v>386</v>
      </c>
      <c r="J17" s="2">
        <f t="shared" si="1"/>
        <v>77.2</v>
      </c>
      <c r="K17" s="2" t="str">
        <f t="shared" si="2"/>
        <v>A</v>
      </c>
    </row>
    <row r="18" spans="1:11" x14ac:dyDescent="0.3">
      <c r="A18" s="7" t="s">
        <v>33</v>
      </c>
      <c r="B18" s="2" t="s">
        <v>34</v>
      </c>
      <c r="C18" s="2">
        <v>58</v>
      </c>
      <c r="D18" s="2">
        <v>51</v>
      </c>
      <c r="E18" s="2">
        <v>31</v>
      </c>
      <c r="F18" s="2">
        <v>30</v>
      </c>
      <c r="G18" s="2">
        <v>64</v>
      </c>
      <c r="H18" s="2" t="s">
        <v>13</v>
      </c>
      <c r="I18" s="2">
        <f t="shared" si="0"/>
        <v>234</v>
      </c>
      <c r="J18" s="2">
        <f t="shared" si="1"/>
        <v>46.8</v>
      </c>
      <c r="K18" s="2" t="str">
        <f t="shared" si="2"/>
        <v>C</v>
      </c>
    </row>
    <row r="19" spans="1:11" x14ac:dyDescent="0.3">
      <c r="A19" s="7" t="s">
        <v>35</v>
      </c>
      <c r="B19" s="2" t="s">
        <v>36</v>
      </c>
      <c r="C19" s="2">
        <v>50</v>
      </c>
      <c r="D19" s="2">
        <v>88</v>
      </c>
      <c r="E19" s="2">
        <v>76</v>
      </c>
      <c r="F19" s="2">
        <v>50</v>
      </c>
      <c r="G19" s="2">
        <v>51</v>
      </c>
      <c r="H19" s="2" t="s">
        <v>13</v>
      </c>
      <c r="I19" s="2">
        <f t="shared" si="0"/>
        <v>315</v>
      </c>
      <c r="J19" s="2">
        <f t="shared" si="1"/>
        <v>63</v>
      </c>
      <c r="K19" s="2" t="str">
        <f t="shared" si="2"/>
        <v>B</v>
      </c>
    </row>
    <row r="20" spans="1:11" x14ac:dyDescent="0.3">
      <c r="A20" s="7" t="s">
        <v>37</v>
      </c>
      <c r="B20" s="2" t="s">
        <v>23</v>
      </c>
      <c r="C20" s="2">
        <v>37</v>
      </c>
      <c r="D20" s="2">
        <v>39</v>
      </c>
      <c r="E20" s="2">
        <v>44</v>
      </c>
      <c r="F20" s="2">
        <v>40</v>
      </c>
      <c r="G20" s="2">
        <v>75</v>
      </c>
      <c r="H20" s="2" t="s">
        <v>13</v>
      </c>
      <c r="I20" s="2">
        <f t="shared" si="0"/>
        <v>235</v>
      </c>
      <c r="J20" s="2">
        <f t="shared" si="1"/>
        <v>47</v>
      </c>
      <c r="K20" s="2" t="str">
        <f t="shared" si="2"/>
        <v>C</v>
      </c>
    </row>
    <row r="21" spans="1:11" x14ac:dyDescent="0.3">
      <c r="A21" s="7" t="s">
        <v>38</v>
      </c>
      <c r="B21" s="2" t="s">
        <v>39</v>
      </c>
      <c r="C21" s="2">
        <v>94</v>
      </c>
      <c r="D21" s="2">
        <v>43</v>
      </c>
      <c r="E21" s="2">
        <v>49</v>
      </c>
      <c r="F21" s="2">
        <v>95</v>
      </c>
      <c r="G21" s="2">
        <v>42</v>
      </c>
      <c r="H21" s="2" t="s">
        <v>13</v>
      </c>
      <c r="I21" s="2">
        <f t="shared" si="0"/>
        <v>323</v>
      </c>
      <c r="J21" s="2">
        <f t="shared" si="1"/>
        <v>64.599999999999994</v>
      </c>
      <c r="K21" s="2" t="str">
        <f t="shared" si="2"/>
        <v>B</v>
      </c>
    </row>
    <row r="22" spans="1:11" x14ac:dyDescent="0.3">
      <c r="A22" s="7" t="s">
        <v>40</v>
      </c>
      <c r="B22" s="2" t="s">
        <v>41</v>
      </c>
      <c r="C22" s="2">
        <v>49</v>
      </c>
      <c r="D22" s="2">
        <v>52</v>
      </c>
      <c r="E22" s="2">
        <v>74</v>
      </c>
      <c r="F22" s="2">
        <v>79</v>
      </c>
      <c r="G22" s="2">
        <v>86</v>
      </c>
      <c r="H22" s="2" t="s">
        <v>13</v>
      </c>
      <c r="I22" s="2">
        <f t="shared" si="0"/>
        <v>340</v>
      </c>
      <c r="J22" s="2">
        <f t="shared" si="1"/>
        <v>68</v>
      </c>
      <c r="K22" s="2" t="str">
        <f t="shared" si="2"/>
        <v>B</v>
      </c>
    </row>
    <row r="23" spans="1:11" x14ac:dyDescent="0.3">
      <c r="A23" s="7" t="s">
        <v>42</v>
      </c>
      <c r="B23" s="2" t="s">
        <v>43</v>
      </c>
      <c r="C23" s="2">
        <v>80</v>
      </c>
      <c r="D23" s="2">
        <v>88</v>
      </c>
      <c r="E23" s="2">
        <v>45</v>
      </c>
      <c r="F23" s="2">
        <v>83</v>
      </c>
      <c r="G23" s="2">
        <v>100</v>
      </c>
      <c r="H23" s="2" t="s">
        <v>13</v>
      </c>
      <c r="I23" s="2">
        <f t="shared" si="0"/>
        <v>396</v>
      </c>
      <c r="J23" s="2">
        <f t="shared" si="1"/>
        <v>79.2</v>
      </c>
      <c r="K23" s="2" t="str">
        <f t="shared" si="2"/>
        <v>A</v>
      </c>
    </row>
    <row r="24" spans="1:11" x14ac:dyDescent="0.3">
      <c r="A24" s="7" t="s">
        <v>44</v>
      </c>
      <c r="B24" s="2" t="s">
        <v>45</v>
      </c>
      <c r="C24" s="2">
        <v>56</v>
      </c>
      <c r="D24" s="2">
        <v>70</v>
      </c>
      <c r="E24" s="2">
        <v>69</v>
      </c>
      <c r="F24" s="2">
        <v>42</v>
      </c>
      <c r="G24" s="2">
        <v>61</v>
      </c>
      <c r="H24" s="2" t="s">
        <v>13</v>
      </c>
      <c r="I24" s="2">
        <f t="shared" si="0"/>
        <v>298</v>
      </c>
      <c r="J24" s="2">
        <f t="shared" si="1"/>
        <v>59.6</v>
      </c>
      <c r="K24" s="2" t="str">
        <f t="shared" si="2"/>
        <v>C</v>
      </c>
    </row>
    <row r="25" spans="1:11" x14ac:dyDescent="0.3">
      <c r="A25" s="7" t="s">
        <v>46</v>
      </c>
      <c r="B25" s="2" t="s">
        <v>47</v>
      </c>
      <c r="C25" s="2">
        <v>81</v>
      </c>
      <c r="D25" s="2">
        <v>37</v>
      </c>
      <c r="E25" s="2">
        <v>41</v>
      </c>
      <c r="F25" s="2">
        <v>68</v>
      </c>
      <c r="G25" s="2">
        <v>46</v>
      </c>
      <c r="H25" s="2" t="s">
        <v>13</v>
      </c>
      <c r="I25" s="2">
        <f t="shared" si="0"/>
        <v>273</v>
      </c>
      <c r="J25" s="2">
        <f t="shared" si="1"/>
        <v>54.6</v>
      </c>
      <c r="K25" s="2" t="str">
        <f t="shared" si="2"/>
        <v>C</v>
      </c>
    </row>
    <row r="26" spans="1:11" x14ac:dyDescent="0.3">
      <c r="A26" s="7" t="s">
        <v>48</v>
      </c>
      <c r="B26" s="2" t="s">
        <v>49</v>
      </c>
      <c r="C26" s="2">
        <v>73</v>
      </c>
      <c r="D26" s="2">
        <v>60</v>
      </c>
      <c r="E26" s="2">
        <v>93</v>
      </c>
      <c r="F26" s="2">
        <v>42</v>
      </c>
      <c r="G26" s="2">
        <v>43</v>
      </c>
      <c r="H26" s="2" t="s">
        <v>13</v>
      </c>
      <c r="I26" s="2">
        <f t="shared" si="0"/>
        <v>311</v>
      </c>
      <c r="J26" s="2">
        <f t="shared" si="1"/>
        <v>62.2</v>
      </c>
      <c r="K26" s="2" t="str">
        <f t="shared" si="2"/>
        <v>B</v>
      </c>
    </row>
    <row r="27" spans="1:11" x14ac:dyDescent="0.3">
      <c r="A27" s="7" t="s">
        <v>50</v>
      </c>
      <c r="B27" s="2" t="s">
        <v>51</v>
      </c>
      <c r="C27" s="2">
        <v>61</v>
      </c>
      <c r="D27" s="2">
        <v>60</v>
      </c>
      <c r="E27" s="2">
        <v>47</v>
      </c>
      <c r="F27" s="2">
        <v>72</v>
      </c>
      <c r="G27" s="2">
        <v>58</v>
      </c>
      <c r="H27" s="2" t="s">
        <v>13</v>
      </c>
      <c r="I27" s="2">
        <f t="shared" si="0"/>
        <v>298</v>
      </c>
      <c r="J27" s="2">
        <f t="shared" si="1"/>
        <v>59.6</v>
      </c>
      <c r="K27" s="2" t="str">
        <f t="shared" si="2"/>
        <v>C</v>
      </c>
    </row>
    <row r="28" spans="1:11" x14ac:dyDescent="0.3">
      <c r="A28" s="7" t="s">
        <v>52</v>
      </c>
      <c r="B28" s="2" t="s">
        <v>53</v>
      </c>
      <c r="C28" s="2">
        <v>94</v>
      </c>
      <c r="D28" s="2">
        <v>82</v>
      </c>
      <c r="E28" s="2">
        <v>85</v>
      </c>
      <c r="F28" s="2">
        <v>98</v>
      </c>
      <c r="G28" s="2">
        <v>79</v>
      </c>
      <c r="H28" s="2" t="s">
        <v>13</v>
      </c>
      <c r="I28" s="2">
        <f t="shared" si="0"/>
        <v>438</v>
      </c>
      <c r="J28" s="2">
        <f t="shared" si="1"/>
        <v>87.6</v>
      </c>
      <c r="K28" s="2" t="str">
        <f t="shared" si="2"/>
        <v>A</v>
      </c>
    </row>
    <row r="29" spans="1:11" x14ac:dyDescent="0.3">
      <c r="A29" s="7" t="s">
        <v>55</v>
      </c>
      <c r="B29" s="2" t="s">
        <v>56</v>
      </c>
      <c r="C29" s="2">
        <v>82</v>
      </c>
      <c r="D29" s="2">
        <v>87</v>
      </c>
      <c r="E29" s="2">
        <v>34</v>
      </c>
      <c r="F29" s="2">
        <v>60</v>
      </c>
      <c r="G29" s="2">
        <v>63</v>
      </c>
      <c r="H29" s="2" t="s">
        <v>13</v>
      </c>
      <c r="I29" s="2">
        <f t="shared" si="0"/>
        <v>326</v>
      </c>
      <c r="J29" s="2">
        <f t="shared" si="1"/>
        <v>65.2</v>
      </c>
      <c r="K29" s="2" t="str">
        <f t="shared" si="2"/>
        <v>B</v>
      </c>
    </row>
    <row r="30" spans="1:11" x14ac:dyDescent="0.3">
      <c r="A30" s="7" t="s">
        <v>57</v>
      </c>
      <c r="B30" s="2" t="s">
        <v>58</v>
      </c>
      <c r="C30" s="2">
        <v>48</v>
      </c>
      <c r="D30" s="2">
        <v>36</v>
      </c>
      <c r="E30" s="2">
        <v>97</v>
      </c>
      <c r="F30" s="2">
        <v>73</v>
      </c>
      <c r="G30" s="2">
        <v>77</v>
      </c>
      <c r="H30" s="2" t="s">
        <v>13</v>
      </c>
      <c r="I30" s="2">
        <f t="shared" si="0"/>
        <v>331</v>
      </c>
      <c r="J30" s="2">
        <f t="shared" si="1"/>
        <v>66.2</v>
      </c>
      <c r="K30" s="2" t="str">
        <f t="shared" si="2"/>
        <v>B</v>
      </c>
    </row>
    <row r="31" spans="1:11" x14ac:dyDescent="0.3">
      <c r="A31" s="7" t="s">
        <v>59</v>
      </c>
      <c r="B31" s="2" t="s">
        <v>60</v>
      </c>
      <c r="C31" s="2">
        <v>49</v>
      </c>
      <c r="D31" s="2">
        <v>85</v>
      </c>
      <c r="E31" s="2">
        <v>31</v>
      </c>
      <c r="F31" s="2">
        <v>43</v>
      </c>
      <c r="G31" s="2">
        <v>70</v>
      </c>
      <c r="H31" s="2" t="s">
        <v>13</v>
      </c>
      <c r="I31" s="2">
        <f t="shared" si="0"/>
        <v>278</v>
      </c>
      <c r="J31" s="2">
        <f t="shared" si="1"/>
        <v>55.6</v>
      </c>
      <c r="K31" s="2" t="str">
        <f t="shared" si="2"/>
        <v>C</v>
      </c>
    </row>
    <row r="32" spans="1:11" x14ac:dyDescent="0.3">
      <c r="A32" s="7" t="s">
        <v>61</v>
      </c>
      <c r="B32" s="2" t="s">
        <v>62</v>
      </c>
      <c r="C32" s="2">
        <v>52</v>
      </c>
      <c r="D32" s="2">
        <v>35</v>
      </c>
      <c r="E32" s="2">
        <v>64</v>
      </c>
      <c r="F32" s="2">
        <v>41</v>
      </c>
      <c r="G32" s="2">
        <v>33</v>
      </c>
      <c r="H32" s="2" t="s">
        <v>13</v>
      </c>
      <c r="I32" s="2">
        <f t="shared" si="0"/>
        <v>225</v>
      </c>
      <c r="J32" s="2">
        <f t="shared" si="1"/>
        <v>45</v>
      </c>
      <c r="K32" s="2" t="str">
        <f t="shared" si="2"/>
        <v>C</v>
      </c>
    </row>
    <row r="33" spans="1:11" x14ac:dyDescent="0.3">
      <c r="A33" s="7" t="s">
        <v>63</v>
      </c>
      <c r="B33" s="2" t="s">
        <v>64</v>
      </c>
      <c r="C33" s="2">
        <v>60</v>
      </c>
      <c r="D33" s="2">
        <v>42</v>
      </c>
      <c r="E33" s="2">
        <v>89</v>
      </c>
      <c r="F33" s="2">
        <v>80</v>
      </c>
      <c r="G33" s="2">
        <v>100</v>
      </c>
      <c r="H33" s="2" t="s">
        <v>13</v>
      </c>
      <c r="I33" s="2">
        <f t="shared" si="0"/>
        <v>371</v>
      </c>
      <c r="J33" s="2">
        <f t="shared" si="1"/>
        <v>74.2</v>
      </c>
      <c r="K33" s="2" t="str">
        <f t="shared" si="2"/>
        <v>B</v>
      </c>
    </row>
    <row r="34" spans="1:11" x14ac:dyDescent="0.3">
      <c r="A34" s="7" t="s">
        <v>65</v>
      </c>
      <c r="B34" s="2" t="s">
        <v>66</v>
      </c>
      <c r="C34" s="2">
        <v>31</v>
      </c>
      <c r="D34" s="2">
        <v>87</v>
      </c>
      <c r="E34" s="2">
        <v>38</v>
      </c>
      <c r="F34" s="2">
        <v>42</v>
      </c>
      <c r="G34" s="2">
        <v>38</v>
      </c>
      <c r="H34" s="2" t="s">
        <v>13</v>
      </c>
      <c r="I34" s="2">
        <f t="shared" si="0"/>
        <v>236</v>
      </c>
      <c r="J34" s="2">
        <f t="shared" si="1"/>
        <v>47.2</v>
      </c>
      <c r="K34" s="2" t="str">
        <f t="shared" si="2"/>
        <v>C</v>
      </c>
    </row>
    <row r="35" spans="1:11" x14ac:dyDescent="0.3">
      <c r="A35" s="7" t="s">
        <v>67</v>
      </c>
      <c r="B35" s="2" t="s">
        <v>68</v>
      </c>
      <c r="C35" s="2">
        <v>34</v>
      </c>
      <c r="D35" s="2">
        <v>100</v>
      </c>
      <c r="E35" s="2">
        <v>67</v>
      </c>
      <c r="F35" s="2">
        <v>69</v>
      </c>
      <c r="G35" s="2">
        <v>71</v>
      </c>
      <c r="H35" s="2" t="s">
        <v>13</v>
      </c>
      <c r="I35" s="2">
        <f t="shared" si="0"/>
        <v>341</v>
      </c>
      <c r="J35" s="2">
        <f t="shared" si="1"/>
        <v>68.2</v>
      </c>
      <c r="K35" s="2" t="str">
        <f t="shared" si="2"/>
        <v>B</v>
      </c>
    </row>
    <row r="36" spans="1:11" x14ac:dyDescent="0.3">
      <c r="A36" s="7" t="s">
        <v>69</v>
      </c>
      <c r="B36" s="2" t="s">
        <v>70</v>
      </c>
      <c r="C36" s="2">
        <v>69</v>
      </c>
      <c r="D36" s="2">
        <v>71</v>
      </c>
      <c r="E36" s="2">
        <v>30</v>
      </c>
      <c r="F36" s="2">
        <v>86</v>
      </c>
      <c r="G36" s="2">
        <v>62</v>
      </c>
      <c r="H36" s="2" t="s">
        <v>13</v>
      </c>
      <c r="I36" s="2">
        <f t="shared" si="0"/>
        <v>318</v>
      </c>
      <c r="J36" s="2">
        <f t="shared" si="1"/>
        <v>63.6</v>
      </c>
      <c r="K36" s="2" t="str">
        <f t="shared" si="2"/>
        <v>B</v>
      </c>
    </row>
    <row r="37" spans="1:11" x14ac:dyDescent="0.3">
      <c r="A37" s="7" t="s">
        <v>71</v>
      </c>
      <c r="B37" s="2" t="s">
        <v>72</v>
      </c>
      <c r="C37" s="2">
        <v>48</v>
      </c>
      <c r="D37" s="2">
        <v>33</v>
      </c>
      <c r="E37" s="2">
        <v>83</v>
      </c>
      <c r="F37" s="2">
        <v>59</v>
      </c>
      <c r="G37" s="2">
        <v>100</v>
      </c>
      <c r="H37" s="2" t="s">
        <v>13</v>
      </c>
      <c r="I37" s="2">
        <f t="shared" si="0"/>
        <v>323</v>
      </c>
      <c r="J37" s="2">
        <f t="shared" si="1"/>
        <v>64.599999999999994</v>
      </c>
      <c r="K37" s="2" t="str">
        <f t="shared" si="2"/>
        <v>B</v>
      </c>
    </row>
    <row r="38" spans="1:11" x14ac:dyDescent="0.3">
      <c r="A38" s="7" t="s">
        <v>73</v>
      </c>
      <c r="B38" s="2" t="s">
        <v>74</v>
      </c>
      <c r="C38" s="2">
        <v>61</v>
      </c>
      <c r="D38" s="2">
        <v>92</v>
      </c>
      <c r="E38" s="2">
        <v>51</v>
      </c>
      <c r="F38" s="2">
        <v>49</v>
      </c>
      <c r="G38" s="2">
        <v>81</v>
      </c>
      <c r="H38" s="2" t="s">
        <v>13</v>
      </c>
      <c r="I38" s="2">
        <f t="shared" si="0"/>
        <v>334</v>
      </c>
      <c r="J38" s="2">
        <f t="shared" si="1"/>
        <v>66.8</v>
      </c>
      <c r="K38" s="2" t="str">
        <f t="shared" si="2"/>
        <v>B</v>
      </c>
    </row>
    <row r="39" spans="1:11" x14ac:dyDescent="0.3">
      <c r="A39" s="7" t="s">
        <v>75</v>
      </c>
      <c r="B39" s="2" t="s">
        <v>76</v>
      </c>
      <c r="C39" s="2">
        <v>46</v>
      </c>
      <c r="D39" s="2">
        <v>93</v>
      </c>
      <c r="E39" s="2">
        <v>82</v>
      </c>
      <c r="F39" s="2">
        <v>95</v>
      </c>
      <c r="G39" s="2">
        <v>99</v>
      </c>
      <c r="H39" s="2" t="s">
        <v>13</v>
      </c>
      <c r="I39" s="2">
        <f t="shared" si="0"/>
        <v>415</v>
      </c>
      <c r="J39" s="2">
        <f t="shared" si="1"/>
        <v>83</v>
      </c>
      <c r="K39" s="2" t="str">
        <f t="shared" si="2"/>
        <v>A</v>
      </c>
    </row>
    <row r="40" spans="1:11" x14ac:dyDescent="0.3">
      <c r="A40" s="7" t="s">
        <v>77</v>
      </c>
      <c r="B40" s="2" t="s">
        <v>78</v>
      </c>
      <c r="C40" s="2">
        <v>71</v>
      </c>
      <c r="D40" s="2">
        <v>41</v>
      </c>
      <c r="E40" s="2">
        <v>65</v>
      </c>
      <c r="F40" s="2">
        <v>71</v>
      </c>
      <c r="G40" s="2">
        <v>98</v>
      </c>
      <c r="H40" s="2" t="s">
        <v>13</v>
      </c>
      <c r="I40" s="2">
        <f t="shared" si="0"/>
        <v>346</v>
      </c>
      <c r="J40" s="2">
        <f t="shared" si="1"/>
        <v>69.2</v>
      </c>
      <c r="K40" s="2" t="str">
        <f t="shared" si="2"/>
        <v>B</v>
      </c>
    </row>
    <row r="41" spans="1:11" x14ac:dyDescent="0.3">
      <c r="A41" s="7" t="s">
        <v>79</v>
      </c>
      <c r="B41" s="2" t="s">
        <v>80</v>
      </c>
      <c r="C41" s="2">
        <v>66</v>
      </c>
      <c r="D41" s="2">
        <v>91</v>
      </c>
      <c r="E41" s="2">
        <v>65</v>
      </c>
      <c r="F41" s="2">
        <v>56</v>
      </c>
      <c r="G41" s="2">
        <v>68</v>
      </c>
      <c r="H41" s="2" t="s">
        <v>13</v>
      </c>
      <c r="I41" s="2">
        <f t="shared" si="0"/>
        <v>346</v>
      </c>
      <c r="J41" s="2">
        <f t="shared" si="1"/>
        <v>69.2</v>
      </c>
      <c r="K41" s="2" t="str">
        <f t="shared" si="2"/>
        <v>B</v>
      </c>
    </row>
    <row r="42" spans="1:11" x14ac:dyDescent="0.3">
      <c r="A42" s="7" t="s">
        <v>81</v>
      </c>
      <c r="B42" s="2" t="s">
        <v>82</v>
      </c>
      <c r="C42" s="2">
        <v>77</v>
      </c>
      <c r="D42" s="2">
        <v>42</v>
      </c>
      <c r="E42" s="2">
        <v>74</v>
      </c>
      <c r="F42" s="2">
        <v>58</v>
      </c>
      <c r="G42" s="2">
        <v>41</v>
      </c>
      <c r="H42" s="2" t="s">
        <v>13</v>
      </c>
      <c r="I42" s="2">
        <f t="shared" si="0"/>
        <v>292</v>
      </c>
      <c r="J42" s="2">
        <f t="shared" si="1"/>
        <v>58.4</v>
      </c>
      <c r="K42" s="2" t="str">
        <f t="shared" si="2"/>
        <v>C</v>
      </c>
    </row>
    <row r="43" spans="1:11" x14ac:dyDescent="0.3">
      <c r="A43" s="7" t="s">
        <v>83</v>
      </c>
      <c r="B43" s="2" t="s">
        <v>84</v>
      </c>
      <c r="C43" s="2">
        <v>92</v>
      </c>
      <c r="D43" s="2">
        <v>76</v>
      </c>
      <c r="E43" s="2">
        <v>72</v>
      </c>
      <c r="F43" s="2">
        <v>89</v>
      </c>
      <c r="G43" s="2">
        <v>71</v>
      </c>
      <c r="H43" s="2" t="s">
        <v>13</v>
      </c>
      <c r="I43" s="2">
        <f t="shared" si="0"/>
        <v>400</v>
      </c>
      <c r="J43" s="2">
        <f t="shared" si="1"/>
        <v>80</v>
      </c>
      <c r="K43" s="2" t="str">
        <f t="shared" si="2"/>
        <v>A</v>
      </c>
    </row>
    <row r="44" spans="1:11" x14ac:dyDescent="0.3">
      <c r="A44" s="7" t="s">
        <v>85</v>
      </c>
      <c r="B44" s="2" t="s">
        <v>86</v>
      </c>
      <c r="C44" s="2">
        <v>77</v>
      </c>
      <c r="D44" s="2">
        <v>43</v>
      </c>
      <c r="E44" s="2">
        <v>94</v>
      </c>
      <c r="F44" s="2">
        <v>36</v>
      </c>
      <c r="G44" s="2">
        <v>56</v>
      </c>
      <c r="H44" s="2" t="s">
        <v>13</v>
      </c>
      <c r="I44" s="2">
        <f t="shared" si="0"/>
        <v>306</v>
      </c>
      <c r="J44" s="2">
        <f t="shared" si="1"/>
        <v>61.2</v>
      </c>
      <c r="K44" s="2" t="str">
        <f t="shared" si="2"/>
        <v>B</v>
      </c>
    </row>
    <row r="45" spans="1:11" x14ac:dyDescent="0.3">
      <c r="A45" s="7" t="s">
        <v>87</v>
      </c>
      <c r="B45" s="2" t="s">
        <v>88</v>
      </c>
      <c r="C45" s="2">
        <v>65</v>
      </c>
      <c r="D45" s="2">
        <v>36</v>
      </c>
      <c r="E45" s="2">
        <v>35</v>
      </c>
      <c r="F45" s="2">
        <v>31</v>
      </c>
      <c r="G45" s="2">
        <v>59</v>
      </c>
      <c r="H45" s="2" t="s">
        <v>13</v>
      </c>
      <c r="I45" s="2">
        <f t="shared" si="0"/>
        <v>226</v>
      </c>
      <c r="J45" s="2">
        <f t="shared" si="1"/>
        <v>45.2</v>
      </c>
      <c r="K45" s="2" t="str">
        <f t="shared" si="2"/>
        <v>C</v>
      </c>
    </row>
    <row r="46" spans="1:11" x14ac:dyDescent="0.3">
      <c r="A46" s="7" t="s">
        <v>89</v>
      </c>
      <c r="B46" s="2" t="s">
        <v>90</v>
      </c>
      <c r="C46" s="2">
        <v>78</v>
      </c>
      <c r="D46" s="2">
        <v>95</v>
      </c>
      <c r="E46" s="2">
        <v>72</v>
      </c>
      <c r="F46" s="2">
        <v>89</v>
      </c>
      <c r="G46" s="2">
        <v>90</v>
      </c>
      <c r="H46" s="2" t="s">
        <v>13</v>
      </c>
      <c r="I46" s="2">
        <f t="shared" si="0"/>
        <v>424</v>
      </c>
      <c r="J46" s="2">
        <f t="shared" si="1"/>
        <v>84.8</v>
      </c>
      <c r="K46" s="2" t="str">
        <f t="shared" si="2"/>
        <v>A</v>
      </c>
    </row>
    <row r="47" spans="1:11" x14ac:dyDescent="0.3">
      <c r="A47" s="7" t="s">
        <v>91</v>
      </c>
      <c r="B47" s="2" t="s">
        <v>92</v>
      </c>
      <c r="C47" s="2">
        <v>96</v>
      </c>
      <c r="D47" s="2">
        <v>90</v>
      </c>
      <c r="E47" s="2">
        <v>73</v>
      </c>
      <c r="F47" s="2">
        <v>95</v>
      </c>
      <c r="G47" s="2">
        <v>51</v>
      </c>
      <c r="H47" s="2" t="s">
        <v>13</v>
      </c>
      <c r="I47" s="2">
        <f t="shared" si="0"/>
        <v>405</v>
      </c>
      <c r="J47" s="2">
        <f t="shared" si="1"/>
        <v>81</v>
      </c>
      <c r="K47" s="2" t="str">
        <f t="shared" si="2"/>
        <v>A</v>
      </c>
    </row>
    <row r="48" spans="1:11" x14ac:dyDescent="0.3">
      <c r="A48" s="7" t="s">
        <v>93</v>
      </c>
      <c r="B48" s="2" t="s">
        <v>94</v>
      </c>
      <c r="C48" s="2">
        <v>80</v>
      </c>
      <c r="D48" s="2">
        <v>48</v>
      </c>
      <c r="E48" s="2">
        <v>76</v>
      </c>
      <c r="F48" s="2">
        <v>95</v>
      </c>
      <c r="G48" s="2">
        <v>39</v>
      </c>
      <c r="H48" s="2" t="s">
        <v>13</v>
      </c>
      <c r="I48" s="2">
        <f t="shared" si="0"/>
        <v>338</v>
      </c>
      <c r="J48" s="2">
        <f t="shared" si="1"/>
        <v>67.599999999999994</v>
      </c>
      <c r="K48" s="2" t="str">
        <f t="shared" si="2"/>
        <v>B</v>
      </c>
    </row>
    <row r="49" spans="1:11" x14ac:dyDescent="0.3">
      <c r="A49" s="7" t="s">
        <v>95</v>
      </c>
      <c r="B49" s="2" t="s">
        <v>96</v>
      </c>
      <c r="C49" s="2">
        <v>77</v>
      </c>
      <c r="D49" s="2">
        <v>43</v>
      </c>
      <c r="E49" s="2">
        <v>85</v>
      </c>
      <c r="F49" s="2">
        <v>83</v>
      </c>
      <c r="G49" s="2">
        <v>90</v>
      </c>
      <c r="H49" s="2" t="s">
        <v>13</v>
      </c>
      <c r="I49" s="2">
        <f t="shared" si="0"/>
        <v>378</v>
      </c>
      <c r="J49" s="2">
        <f t="shared" si="1"/>
        <v>75.599999999999994</v>
      </c>
      <c r="K49" s="2" t="str">
        <f t="shared" si="2"/>
        <v>A</v>
      </c>
    </row>
    <row r="50" spans="1:11" x14ac:dyDescent="0.3">
      <c r="A50" s="7" t="s">
        <v>97</v>
      </c>
      <c r="B50" s="2" t="s">
        <v>98</v>
      </c>
      <c r="C50" s="2">
        <v>38</v>
      </c>
      <c r="D50" s="2">
        <v>54</v>
      </c>
      <c r="E50" s="2">
        <v>34</v>
      </c>
      <c r="F50" s="2">
        <v>55</v>
      </c>
      <c r="G50" s="2">
        <v>96</v>
      </c>
      <c r="H50" s="2" t="s">
        <v>13</v>
      </c>
      <c r="I50" s="2">
        <f t="shared" si="0"/>
        <v>277</v>
      </c>
      <c r="J50" s="2">
        <f t="shared" si="1"/>
        <v>55.4</v>
      </c>
      <c r="K50" s="2" t="str">
        <f t="shared" si="2"/>
        <v>C</v>
      </c>
    </row>
    <row r="51" spans="1:11" x14ac:dyDescent="0.3">
      <c r="A51" s="7" t="s">
        <v>99</v>
      </c>
      <c r="B51" s="2" t="s">
        <v>100</v>
      </c>
      <c r="C51" s="2">
        <v>30</v>
      </c>
      <c r="D51" s="2">
        <v>60</v>
      </c>
      <c r="E51" s="2">
        <v>70</v>
      </c>
      <c r="F51" s="2">
        <v>96</v>
      </c>
      <c r="G51" s="2">
        <v>42</v>
      </c>
      <c r="H51" s="2" t="s">
        <v>13</v>
      </c>
      <c r="I51" s="2">
        <f t="shared" si="0"/>
        <v>298</v>
      </c>
      <c r="J51" s="2">
        <f t="shared" si="1"/>
        <v>59.6</v>
      </c>
      <c r="K51" s="2" t="str">
        <f t="shared" si="2"/>
        <v>C</v>
      </c>
    </row>
    <row r="52" spans="1:11" x14ac:dyDescent="0.3">
      <c r="A52" s="7" t="s">
        <v>101</v>
      </c>
      <c r="B52" s="2" t="s">
        <v>102</v>
      </c>
      <c r="C52" s="2">
        <v>40</v>
      </c>
      <c r="D52" s="2">
        <v>93</v>
      </c>
      <c r="E52" s="2">
        <v>51</v>
      </c>
      <c r="F52" s="2">
        <v>98</v>
      </c>
      <c r="G52" s="2">
        <v>84</v>
      </c>
      <c r="H52" s="2" t="s">
        <v>13</v>
      </c>
      <c r="I52" s="2">
        <f t="shared" si="0"/>
        <v>366</v>
      </c>
      <c r="J52" s="2">
        <f t="shared" si="1"/>
        <v>73.2</v>
      </c>
      <c r="K52" s="2" t="str">
        <f t="shared" si="2"/>
        <v>B</v>
      </c>
    </row>
    <row r="53" spans="1:11" x14ac:dyDescent="0.3">
      <c r="A53" s="7" t="s">
        <v>103</v>
      </c>
      <c r="B53" s="2" t="s">
        <v>104</v>
      </c>
      <c r="C53" s="2">
        <v>46</v>
      </c>
      <c r="D53" s="2">
        <v>91</v>
      </c>
      <c r="E53" s="2">
        <v>67</v>
      </c>
      <c r="F53" s="2">
        <v>36</v>
      </c>
      <c r="G53" s="2">
        <v>67</v>
      </c>
      <c r="H53" s="2" t="s">
        <v>13</v>
      </c>
      <c r="I53" s="2">
        <f t="shared" si="0"/>
        <v>307</v>
      </c>
      <c r="J53" s="2">
        <f t="shared" si="1"/>
        <v>61.4</v>
      </c>
      <c r="K53" s="2" t="str">
        <f t="shared" si="2"/>
        <v>B</v>
      </c>
    </row>
    <row r="54" spans="1:11" x14ac:dyDescent="0.3">
      <c r="A54" s="7" t="s">
        <v>105</v>
      </c>
      <c r="B54" s="2" t="s">
        <v>106</v>
      </c>
      <c r="C54" s="2">
        <v>99</v>
      </c>
      <c r="D54" s="2">
        <v>77</v>
      </c>
      <c r="E54" s="2">
        <v>35</v>
      </c>
      <c r="F54" s="2">
        <v>44</v>
      </c>
      <c r="G54" s="2">
        <v>86</v>
      </c>
      <c r="H54" s="2" t="s">
        <v>13</v>
      </c>
      <c r="I54" s="2">
        <f t="shared" si="0"/>
        <v>341</v>
      </c>
      <c r="J54" s="2">
        <f t="shared" si="1"/>
        <v>68.2</v>
      </c>
      <c r="K54" s="2" t="str">
        <f t="shared" si="2"/>
        <v>B</v>
      </c>
    </row>
    <row r="55" spans="1:11" x14ac:dyDescent="0.3">
      <c r="A55" s="7" t="s">
        <v>107</v>
      </c>
      <c r="B55" s="2" t="s">
        <v>108</v>
      </c>
      <c r="C55" s="2">
        <v>78</v>
      </c>
      <c r="D55" s="2">
        <v>93</v>
      </c>
      <c r="E55" s="2">
        <v>70</v>
      </c>
      <c r="F55" s="2">
        <v>87</v>
      </c>
      <c r="G55" s="2">
        <v>35</v>
      </c>
      <c r="H55" s="2" t="s">
        <v>13</v>
      </c>
      <c r="I55" s="2">
        <f t="shared" si="0"/>
        <v>363</v>
      </c>
      <c r="J55" s="2">
        <f t="shared" si="1"/>
        <v>72.599999999999994</v>
      </c>
      <c r="K55" s="2" t="str">
        <f t="shared" si="2"/>
        <v>B</v>
      </c>
    </row>
    <row r="56" spans="1:11" x14ac:dyDescent="0.3">
      <c r="A56" s="7" t="s">
        <v>109</v>
      </c>
      <c r="B56" s="2" t="s">
        <v>110</v>
      </c>
      <c r="C56" s="2">
        <v>43</v>
      </c>
      <c r="D56" s="2">
        <v>79</v>
      </c>
      <c r="E56" s="2">
        <v>31</v>
      </c>
      <c r="F56" s="2">
        <v>35</v>
      </c>
      <c r="G56" s="2">
        <v>75</v>
      </c>
      <c r="H56" s="2" t="s">
        <v>13</v>
      </c>
      <c r="I56" s="2">
        <f t="shared" si="0"/>
        <v>263</v>
      </c>
      <c r="J56" s="2">
        <f t="shared" si="1"/>
        <v>52.6</v>
      </c>
      <c r="K56" s="2" t="str">
        <f t="shared" si="2"/>
        <v>C</v>
      </c>
    </row>
    <row r="57" spans="1:11" x14ac:dyDescent="0.3">
      <c r="A57" s="7" t="s">
        <v>111</v>
      </c>
      <c r="B57" s="2" t="s">
        <v>39</v>
      </c>
      <c r="C57" s="2">
        <v>54</v>
      </c>
      <c r="D57" s="2">
        <v>30</v>
      </c>
      <c r="E57" s="2">
        <v>99</v>
      </c>
      <c r="F57" s="2">
        <v>44</v>
      </c>
      <c r="G57" s="2">
        <v>55</v>
      </c>
      <c r="H57" s="2" t="s">
        <v>13</v>
      </c>
      <c r="I57" s="2">
        <f t="shared" si="0"/>
        <v>282</v>
      </c>
      <c r="J57" s="2">
        <f t="shared" si="1"/>
        <v>56.4</v>
      </c>
      <c r="K57" s="2" t="str">
        <f t="shared" si="2"/>
        <v>C</v>
      </c>
    </row>
    <row r="58" spans="1:11" x14ac:dyDescent="0.3">
      <c r="A58" s="7" t="s">
        <v>112</v>
      </c>
      <c r="B58" s="2" t="s">
        <v>113</v>
      </c>
      <c r="C58" s="2">
        <v>71</v>
      </c>
      <c r="D58" s="2">
        <v>65</v>
      </c>
      <c r="E58" s="2">
        <v>33</v>
      </c>
      <c r="F58" s="2">
        <v>55</v>
      </c>
      <c r="G58" s="2">
        <v>95</v>
      </c>
      <c r="H58" s="2" t="s">
        <v>13</v>
      </c>
      <c r="I58" s="2">
        <f t="shared" si="0"/>
        <v>319</v>
      </c>
      <c r="J58" s="2">
        <f t="shared" si="1"/>
        <v>63.8</v>
      </c>
      <c r="K58" s="2" t="str">
        <f t="shared" si="2"/>
        <v>B</v>
      </c>
    </row>
    <row r="59" spans="1:11" x14ac:dyDescent="0.3">
      <c r="A59" s="7" t="s">
        <v>114</v>
      </c>
      <c r="B59" s="2" t="s">
        <v>115</v>
      </c>
      <c r="C59" s="2">
        <v>63</v>
      </c>
      <c r="D59" s="2">
        <v>76</v>
      </c>
      <c r="E59" s="2">
        <v>76</v>
      </c>
      <c r="F59" s="2">
        <v>31</v>
      </c>
      <c r="G59" s="2">
        <v>64</v>
      </c>
      <c r="H59" s="2" t="s">
        <v>13</v>
      </c>
      <c r="I59" s="2">
        <f t="shared" si="0"/>
        <v>310</v>
      </c>
      <c r="J59" s="2">
        <f t="shared" si="1"/>
        <v>62</v>
      </c>
      <c r="K59" s="2" t="str">
        <f t="shared" si="2"/>
        <v>B</v>
      </c>
    </row>
    <row r="60" spans="1:11" x14ac:dyDescent="0.3">
      <c r="A60" s="7" t="s">
        <v>116</v>
      </c>
      <c r="B60" s="2" t="s">
        <v>117</v>
      </c>
      <c r="C60" s="2">
        <v>96</v>
      </c>
      <c r="D60" s="2">
        <v>97</v>
      </c>
      <c r="E60" s="2">
        <v>84</v>
      </c>
      <c r="F60" s="2">
        <v>96</v>
      </c>
      <c r="G60" s="2">
        <v>80</v>
      </c>
      <c r="H60" s="2" t="s">
        <v>13</v>
      </c>
      <c r="I60" s="2">
        <f t="shared" si="0"/>
        <v>453</v>
      </c>
      <c r="J60" s="2">
        <f t="shared" si="1"/>
        <v>90.6</v>
      </c>
      <c r="K60" s="2" t="str">
        <f t="shared" si="2"/>
        <v>A+</v>
      </c>
    </row>
    <row r="61" spans="1:11" x14ac:dyDescent="0.3">
      <c r="A61" s="7" t="s">
        <v>118</v>
      </c>
      <c r="B61" s="2" t="s">
        <v>119</v>
      </c>
      <c r="C61" s="2">
        <v>96</v>
      </c>
      <c r="D61" s="2">
        <v>82</v>
      </c>
      <c r="E61" s="2">
        <v>75</v>
      </c>
      <c r="F61" s="2">
        <v>65</v>
      </c>
      <c r="G61" s="2">
        <v>40</v>
      </c>
      <c r="H61" s="2" t="s">
        <v>13</v>
      </c>
      <c r="I61" s="2">
        <f t="shared" si="0"/>
        <v>358</v>
      </c>
      <c r="J61" s="2">
        <f t="shared" si="1"/>
        <v>71.599999999999994</v>
      </c>
      <c r="K61" s="2" t="str">
        <f t="shared" si="2"/>
        <v>B</v>
      </c>
    </row>
    <row r="62" spans="1:11" x14ac:dyDescent="0.3">
      <c r="A62" s="7" t="s">
        <v>120</v>
      </c>
      <c r="B62" s="2" t="s">
        <v>121</v>
      </c>
      <c r="C62" s="2">
        <v>86</v>
      </c>
      <c r="D62" s="2">
        <v>74</v>
      </c>
      <c r="E62" s="2">
        <v>83</v>
      </c>
      <c r="F62" s="2">
        <v>63</v>
      </c>
      <c r="G62" s="2">
        <v>56</v>
      </c>
      <c r="H62" s="2" t="s">
        <v>13</v>
      </c>
      <c r="I62" s="2">
        <f t="shared" si="0"/>
        <v>362</v>
      </c>
      <c r="J62" s="2">
        <f t="shared" si="1"/>
        <v>72.400000000000006</v>
      </c>
      <c r="K62" s="2" t="str">
        <f t="shared" si="2"/>
        <v>B</v>
      </c>
    </row>
    <row r="63" spans="1:11" x14ac:dyDescent="0.3">
      <c r="A63" s="7" t="s">
        <v>122</v>
      </c>
      <c r="B63" s="2" t="s">
        <v>123</v>
      </c>
      <c r="C63" s="2">
        <v>72</v>
      </c>
      <c r="D63" s="2">
        <v>32</v>
      </c>
      <c r="E63" s="2">
        <v>92</v>
      </c>
      <c r="F63" s="2">
        <v>85</v>
      </c>
      <c r="G63" s="2">
        <v>84</v>
      </c>
      <c r="H63" s="2" t="s">
        <v>13</v>
      </c>
      <c r="I63" s="2">
        <f t="shared" si="0"/>
        <v>365</v>
      </c>
      <c r="J63" s="2">
        <f t="shared" si="1"/>
        <v>73</v>
      </c>
      <c r="K63" s="2" t="str">
        <f t="shared" si="2"/>
        <v>B</v>
      </c>
    </row>
    <row r="64" spans="1:11" x14ac:dyDescent="0.3">
      <c r="A64" s="7" t="s">
        <v>124</v>
      </c>
      <c r="B64" s="2" t="s">
        <v>125</v>
      </c>
      <c r="C64" s="2">
        <v>57</v>
      </c>
      <c r="D64" s="2">
        <v>66</v>
      </c>
      <c r="E64" s="2">
        <v>96</v>
      </c>
      <c r="F64" s="2">
        <v>95</v>
      </c>
      <c r="G64" s="2">
        <v>95</v>
      </c>
      <c r="H64" s="2" t="s">
        <v>13</v>
      </c>
      <c r="I64" s="2">
        <f t="shared" si="0"/>
        <v>409</v>
      </c>
      <c r="J64" s="2">
        <f t="shared" si="1"/>
        <v>81.8</v>
      </c>
      <c r="K64" s="2" t="str">
        <f t="shared" si="2"/>
        <v>A</v>
      </c>
    </row>
    <row r="65" spans="1:11" x14ac:dyDescent="0.3">
      <c r="A65" s="7" t="s">
        <v>126</v>
      </c>
      <c r="B65" s="2" t="s">
        <v>127</v>
      </c>
      <c r="C65" s="2">
        <v>85</v>
      </c>
      <c r="D65" s="2">
        <v>81</v>
      </c>
      <c r="E65" s="2">
        <v>56</v>
      </c>
      <c r="F65" s="2">
        <v>42</v>
      </c>
      <c r="G65" s="2">
        <v>85</v>
      </c>
      <c r="H65" s="2" t="s">
        <v>13</v>
      </c>
      <c r="I65" s="2">
        <f t="shared" si="0"/>
        <v>349</v>
      </c>
      <c r="J65" s="2">
        <f t="shared" si="1"/>
        <v>69.8</v>
      </c>
      <c r="K65" s="2" t="str">
        <f t="shared" si="2"/>
        <v>B</v>
      </c>
    </row>
    <row r="66" spans="1:11" x14ac:dyDescent="0.3">
      <c r="A66" s="7" t="s">
        <v>128</v>
      </c>
      <c r="B66" s="2" t="s">
        <v>129</v>
      </c>
      <c r="C66" s="2">
        <v>35</v>
      </c>
      <c r="D66" s="2">
        <v>86</v>
      </c>
      <c r="E66" s="2">
        <v>36</v>
      </c>
      <c r="F66" s="2">
        <v>36</v>
      </c>
      <c r="G66" s="2">
        <v>69</v>
      </c>
      <c r="H66" s="2" t="s">
        <v>13</v>
      </c>
      <c r="I66" s="2">
        <f t="shared" si="0"/>
        <v>262</v>
      </c>
      <c r="J66" s="2">
        <f t="shared" si="1"/>
        <v>52.4</v>
      </c>
      <c r="K66" s="2" t="str">
        <f t="shared" si="2"/>
        <v>C</v>
      </c>
    </row>
    <row r="67" spans="1:11" x14ac:dyDescent="0.3">
      <c r="A67" s="7" t="s">
        <v>130</v>
      </c>
      <c r="B67" s="2" t="s">
        <v>131</v>
      </c>
      <c r="C67" s="2">
        <v>78</v>
      </c>
      <c r="D67" s="2">
        <v>97</v>
      </c>
      <c r="E67" s="2">
        <v>34</v>
      </c>
      <c r="F67" s="2">
        <v>49</v>
      </c>
      <c r="G67" s="2">
        <v>39</v>
      </c>
      <c r="H67" s="2" t="s">
        <v>13</v>
      </c>
      <c r="I67" s="2">
        <f t="shared" si="0"/>
        <v>297</v>
      </c>
      <c r="J67" s="2">
        <f t="shared" si="1"/>
        <v>59.4</v>
      </c>
      <c r="K67" s="2" t="str">
        <f t="shared" si="2"/>
        <v>C</v>
      </c>
    </row>
    <row r="68" spans="1:11" x14ac:dyDescent="0.3">
      <c r="A68" s="7" t="s">
        <v>132</v>
      </c>
      <c r="B68" s="2" t="s">
        <v>84</v>
      </c>
      <c r="C68" s="2">
        <v>59</v>
      </c>
      <c r="D68" s="2">
        <v>90</v>
      </c>
      <c r="E68" s="2">
        <v>77</v>
      </c>
      <c r="F68" s="2">
        <v>82</v>
      </c>
      <c r="G68" s="2">
        <v>58</v>
      </c>
      <c r="H68" s="2" t="s">
        <v>13</v>
      </c>
      <c r="I68" s="2">
        <f t="shared" si="0"/>
        <v>366</v>
      </c>
      <c r="J68" s="2">
        <f t="shared" si="1"/>
        <v>73.2</v>
      </c>
      <c r="K68" s="2" t="str">
        <f t="shared" si="2"/>
        <v>B</v>
      </c>
    </row>
    <row r="69" spans="1:11" x14ac:dyDescent="0.3">
      <c r="A69" s="7" t="s">
        <v>133</v>
      </c>
      <c r="B69" s="2" t="s">
        <v>134</v>
      </c>
      <c r="C69" s="2">
        <v>78</v>
      </c>
      <c r="D69" s="2">
        <v>68</v>
      </c>
      <c r="E69" s="2">
        <v>100</v>
      </c>
      <c r="F69" s="2">
        <v>77</v>
      </c>
      <c r="G69" s="2">
        <v>54</v>
      </c>
      <c r="H69" s="2" t="s">
        <v>13</v>
      </c>
      <c r="I69" s="2">
        <f t="shared" si="0"/>
        <v>377</v>
      </c>
      <c r="J69" s="2">
        <f t="shared" si="1"/>
        <v>75.400000000000006</v>
      </c>
      <c r="K69" s="2" t="str">
        <f t="shared" si="2"/>
        <v>A</v>
      </c>
    </row>
    <row r="70" spans="1:11" x14ac:dyDescent="0.3">
      <c r="A70" s="7" t="s">
        <v>135</v>
      </c>
      <c r="B70" s="2" t="s">
        <v>136</v>
      </c>
      <c r="C70" s="2">
        <v>51</v>
      </c>
      <c r="D70" s="2">
        <v>48</v>
      </c>
      <c r="E70" s="2">
        <v>55</v>
      </c>
      <c r="F70" s="2">
        <v>76</v>
      </c>
      <c r="G70" s="2">
        <v>95</v>
      </c>
      <c r="H70" s="2" t="s">
        <v>13</v>
      </c>
      <c r="I70" s="2">
        <f t="shared" si="0"/>
        <v>325</v>
      </c>
      <c r="J70" s="2">
        <f t="shared" si="1"/>
        <v>65</v>
      </c>
      <c r="K70" s="2" t="str">
        <f t="shared" si="2"/>
        <v>B</v>
      </c>
    </row>
    <row r="71" spans="1:11" x14ac:dyDescent="0.3">
      <c r="A71" s="7" t="s">
        <v>137</v>
      </c>
      <c r="B71" s="2" t="s">
        <v>138</v>
      </c>
      <c r="C71" s="2">
        <v>88</v>
      </c>
      <c r="D71" s="2">
        <v>85</v>
      </c>
      <c r="E71" s="2">
        <v>67</v>
      </c>
      <c r="F71" s="2">
        <v>70</v>
      </c>
      <c r="G71" s="2">
        <v>82</v>
      </c>
      <c r="H71" s="2" t="s">
        <v>13</v>
      </c>
      <c r="I71" s="2">
        <f t="shared" si="0"/>
        <v>392</v>
      </c>
      <c r="J71" s="2">
        <f t="shared" si="1"/>
        <v>78.400000000000006</v>
      </c>
      <c r="K71" s="2" t="str">
        <f t="shared" si="2"/>
        <v>A</v>
      </c>
    </row>
    <row r="72" spans="1:11" x14ac:dyDescent="0.3">
      <c r="A72" s="7" t="s">
        <v>139</v>
      </c>
      <c r="B72" s="2" t="s">
        <v>140</v>
      </c>
      <c r="C72" s="2">
        <v>69</v>
      </c>
      <c r="D72" s="2">
        <v>33</v>
      </c>
      <c r="E72" s="2">
        <v>44</v>
      </c>
      <c r="F72" s="2">
        <v>100</v>
      </c>
      <c r="G72" s="2">
        <v>66</v>
      </c>
      <c r="H72" s="2" t="s">
        <v>13</v>
      </c>
      <c r="I72" s="2">
        <f t="shared" si="0"/>
        <v>312</v>
      </c>
      <c r="J72" s="2">
        <f t="shared" si="1"/>
        <v>62.4</v>
      </c>
      <c r="K72" s="2" t="str">
        <f t="shared" si="2"/>
        <v>B</v>
      </c>
    </row>
    <row r="73" spans="1:11" x14ac:dyDescent="0.3">
      <c r="A73" s="7" t="s">
        <v>141</v>
      </c>
      <c r="B73" s="2" t="s">
        <v>41</v>
      </c>
      <c r="C73" s="2">
        <v>82</v>
      </c>
      <c r="D73" s="2">
        <v>35</v>
      </c>
      <c r="E73" s="2">
        <v>73</v>
      </c>
      <c r="F73" s="2">
        <v>76</v>
      </c>
      <c r="G73" s="2">
        <v>58</v>
      </c>
      <c r="H73" s="2" t="s">
        <v>13</v>
      </c>
      <c r="I73" s="2">
        <f t="shared" si="0"/>
        <v>324</v>
      </c>
      <c r="J73" s="2">
        <f t="shared" si="1"/>
        <v>64.8</v>
      </c>
      <c r="K73" s="2" t="str">
        <f t="shared" si="2"/>
        <v>B</v>
      </c>
    </row>
    <row r="74" spans="1:11" x14ac:dyDescent="0.3">
      <c r="A74" s="7" t="s">
        <v>142</v>
      </c>
      <c r="B74" s="2" t="s">
        <v>143</v>
      </c>
      <c r="C74" s="2">
        <v>82</v>
      </c>
      <c r="D74" s="2">
        <v>32</v>
      </c>
      <c r="E74" s="2">
        <v>69</v>
      </c>
      <c r="F74" s="2">
        <v>65</v>
      </c>
      <c r="G74" s="2">
        <v>46</v>
      </c>
      <c r="H74" s="2" t="s">
        <v>13</v>
      </c>
      <c r="I74" s="2">
        <f t="shared" ref="I74:I137" si="3">SUM(C74:G74)</f>
        <v>294</v>
      </c>
      <c r="J74" s="2">
        <f t="shared" ref="J74:J137" si="4">AVERAGE(C74:G74)</f>
        <v>58.8</v>
      </c>
      <c r="K74" s="2" t="str">
        <f t="shared" ref="K74:K137" si="5">IF(J74&gt;=90,"A+",IF(J74&gt;=75,"A",IF(J74&gt;=60,"B",IF(J74&gt;=45,"C","Fail"))))</f>
        <v>C</v>
      </c>
    </row>
    <row r="75" spans="1:11" x14ac:dyDescent="0.3">
      <c r="A75" s="7" t="s">
        <v>144</v>
      </c>
      <c r="B75" s="2" t="s">
        <v>145</v>
      </c>
      <c r="C75" s="2">
        <v>70</v>
      </c>
      <c r="D75" s="2">
        <v>38</v>
      </c>
      <c r="E75" s="2">
        <v>45</v>
      </c>
      <c r="F75" s="2">
        <v>31</v>
      </c>
      <c r="G75" s="2">
        <v>60</v>
      </c>
      <c r="H75" s="2" t="s">
        <v>13</v>
      </c>
      <c r="I75" s="2">
        <f t="shared" si="3"/>
        <v>244</v>
      </c>
      <c r="J75" s="2">
        <f t="shared" si="4"/>
        <v>48.8</v>
      </c>
      <c r="K75" s="2" t="str">
        <f t="shared" si="5"/>
        <v>C</v>
      </c>
    </row>
    <row r="76" spans="1:11" x14ac:dyDescent="0.3">
      <c r="A76" s="7" t="s">
        <v>146</v>
      </c>
      <c r="B76" s="2" t="s">
        <v>147</v>
      </c>
      <c r="C76" s="2">
        <v>81</v>
      </c>
      <c r="D76" s="2">
        <v>93</v>
      </c>
      <c r="E76" s="2">
        <v>74</v>
      </c>
      <c r="F76" s="2">
        <v>95</v>
      </c>
      <c r="G76" s="2">
        <v>59</v>
      </c>
      <c r="H76" s="2" t="s">
        <v>13</v>
      </c>
      <c r="I76" s="2">
        <f t="shared" si="3"/>
        <v>402</v>
      </c>
      <c r="J76" s="2">
        <f t="shared" si="4"/>
        <v>80.400000000000006</v>
      </c>
      <c r="K76" s="2" t="str">
        <f t="shared" si="5"/>
        <v>A</v>
      </c>
    </row>
    <row r="77" spans="1:11" x14ac:dyDescent="0.3">
      <c r="A77" s="7" t="s">
        <v>148</v>
      </c>
      <c r="B77" s="2" t="s">
        <v>149</v>
      </c>
      <c r="C77" s="2">
        <v>60</v>
      </c>
      <c r="D77" s="2">
        <v>40</v>
      </c>
      <c r="E77" s="2">
        <v>38</v>
      </c>
      <c r="F77" s="2">
        <v>88</v>
      </c>
      <c r="G77" s="2">
        <v>33</v>
      </c>
      <c r="H77" s="2" t="s">
        <v>13</v>
      </c>
      <c r="I77" s="2">
        <f t="shared" si="3"/>
        <v>259</v>
      </c>
      <c r="J77" s="2">
        <f t="shared" si="4"/>
        <v>51.8</v>
      </c>
      <c r="K77" s="2" t="str">
        <f t="shared" si="5"/>
        <v>C</v>
      </c>
    </row>
    <row r="78" spans="1:11" x14ac:dyDescent="0.3">
      <c r="A78" s="7" t="s">
        <v>150</v>
      </c>
      <c r="B78" s="2" t="s">
        <v>151</v>
      </c>
      <c r="C78" s="2">
        <v>50</v>
      </c>
      <c r="D78" s="2">
        <v>41</v>
      </c>
      <c r="E78" s="2">
        <v>48</v>
      </c>
      <c r="F78" s="2">
        <v>73</v>
      </c>
      <c r="G78" s="2">
        <v>98</v>
      </c>
      <c r="H78" s="2" t="s">
        <v>13</v>
      </c>
      <c r="I78" s="2">
        <f t="shared" si="3"/>
        <v>310</v>
      </c>
      <c r="J78" s="2">
        <f t="shared" si="4"/>
        <v>62</v>
      </c>
      <c r="K78" s="2" t="str">
        <f t="shared" si="5"/>
        <v>B</v>
      </c>
    </row>
    <row r="79" spans="1:11" x14ac:dyDescent="0.3">
      <c r="A79" s="7" t="s">
        <v>152</v>
      </c>
      <c r="B79" s="2" t="s">
        <v>21</v>
      </c>
      <c r="C79" s="2">
        <v>52</v>
      </c>
      <c r="D79" s="2">
        <v>91</v>
      </c>
      <c r="E79" s="2">
        <v>35</v>
      </c>
      <c r="F79" s="2">
        <v>99</v>
      </c>
      <c r="G79" s="2">
        <v>100</v>
      </c>
      <c r="H79" s="2" t="s">
        <v>13</v>
      </c>
      <c r="I79" s="2">
        <f t="shared" si="3"/>
        <v>377</v>
      </c>
      <c r="J79" s="2">
        <f t="shared" si="4"/>
        <v>75.400000000000006</v>
      </c>
      <c r="K79" s="2" t="str">
        <f t="shared" si="5"/>
        <v>A</v>
      </c>
    </row>
    <row r="80" spans="1:11" x14ac:dyDescent="0.3">
      <c r="A80" s="7" t="s">
        <v>153</v>
      </c>
      <c r="B80" s="2" t="s">
        <v>154</v>
      </c>
      <c r="C80" s="2">
        <v>70</v>
      </c>
      <c r="D80" s="2">
        <v>65</v>
      </c>
      <c r="E80" s="2">
        <v>72</v>
      </c>
      <c r="F80" s="2">
        <v>88</v>
      </c>
      <c r="G80" s="2">
        <v>71</v>
      </c>
      <c r="H80" s="2" t="s">
        <v>13</v>
      </c>
      <c r="I80" s="2">
        <f t="shared" si="3"/>
        <v>366</v>
      </c>
      <c r="J80" s="2">
        <f t="shared" si="4"/>
        <v>73.2</v>
      </c>
      <c r="K80" s="2" t="str">
        <f t="shared" si="5"/>
        <v>B</v>
      </c>
    </row>
    <row r="81" spans="1:11" x14ac:dyDescent="0.3">
      <c r="A81" s="7" t="s">
        <v>155</v>
      </c>
      <c r="B81" s="2" t="s">
        <v>156</v>
      </c>
      <c r="C81" s="2">
        <v>35</v>
      </c>
      <c r="D81" s="2">
        <v>63</v>
      </c>
      <c r="E81" s="2">
        <v>79</v>
      </c>
      <c r="F81" s="2">
        <v>49</v>
      </c>
      <c r="G81" s="2">
        <v>32</v>
      </c>
      <c r="H81" s="2" t="s">
        <v>13</v>
      </c>
      <c r="I81" s="2">
        <f t="shared" si="3"/>
        <v>258</v>
      </c>
      <c r="J81" s="2">
        <f t="shared" si="4"/>
        <v>51.6</v>
      </c>
      <c r="K81" s="2" t="str">
        <f t="shared" si="5"/>
        <v>C</v>
      </c>
    </row>
    <row r="82" spans="1:11" x14ac:dyDescent="0.3">
      <c r="A82" s="7" t="s">
        <v>157</v>
      </c>
      <c r="B82" s="2" t="s">
        <v>158</v>
      </c>
      <c r="C82" s="2">
        <v>79</v>
      </c>
      <c r="D82" s="2">
        <v>32</v>
      </c>
      <c r="E82" s="2">
        <v>92</v>
      </c>
      <c r="F82" s="2">
        <v>48</v>
      </c>
      <c r="G82" s="2">
        <v>48</v>
      </c>
      <c r="H82" s="2" t="s">
        <v>13</v>
      </c>
      <c r="I82" s="2">
        <f t="shared" si="3"/>
        <v>299</v>
      </c>
      <c r="J82" s="2">
        <f t="shared" si="4"/>
        <v>59.8</v>
      </c>
      <c r="K82" s="2" t="str">
        <f t="shared" si="5"/>
        <v>C</v>
      </c>
    </row>
    <row r="83" spans="1:11" x14ac:dyDescent="0.3">
      <c r="A83" s="7" t="s">
        <v>159</v>
      </c>
      <c r="B83" s="2" t="s">
        <v>160</v>
      </c>
      <c r="C83" s="2">
        <v>74</v>
      </c>
      <c r="D83" s="2">
        <v>62</v>
      </c>
      <c r="E83" s="2">
        <v>39</v>
      </c>
      <c r="F83" s="2">
        <v>48</v>
      </c>
      <c r="G83" s="2">
        <v>95</v>
      </c>
      <c r="H83" s="2" t="s">
        <v>13</v>
      </c>
      <c r="I83" s="2">
        <f t="shared" si="3"/>
        <v>318</v>
      </c>
      <c r="J83" s="2">
        <f t="shared" si="4"/>
        <v>63.6</v>
      </c>
      <c r="K83" s="2" t="str">
        <f t="shared" si="5"/>
        <v>B</v>
      </c>
    </row>
    <row r="84" spans="1:11" x14ac:dyDescent="0.3">
      <c r="A84" s="7" t="s">
        <v>161</v>
      </c>
      <c r="B84" s="2" t="s">
        <v>84</v>
      </c>
      <c r="C84" s="2">
        <v>67</v>
      </c>
      <c r="D84" s="2">
        <v>45</v>
      </c>
      <c r="E84" s="2">
        <v>51</v>
      </c>
      <c r="F84" s="2">
        <v>31</v>
      </c>
      <c r="G84" s="2">
        <v>96</v>
      </c>
      <c r="H84" s="2" t="s">
        <v>13</v>
      </c>
      <c r="I84" s="2">
        <f t="shared" si="3"/>
        <v>290</v>
      </c>
      <c r="J84" s="2">
        <f t="shared" si="4"/>
        <v>58</v>
      </c>
      <c r="K84" s="2" t="str">
        <f t="shared" si="5"/>
        <v>C</v>
      </c>
    </row>
    <row r="85" spans="1:11" x14ac:dyDescent="0.3">
      <c r="A85" s="7" t="s">
        <v>162</v>
      </c>
      <c r="B85" s="2" t="s">
        <v>163</v>
      </c>
      <c r="C85" s="2">
        <v>99</v>
      </c>
      <c r="D85" s="2">
        <v>35</v>
      </c>
      <c r="E85" s="2">
        <v>39</v>
      </c>
      <c r="F85" s="2">
        <v>83</v>
      </c>
      <c r="G85" s="2">
        <v>54</v>
      </c>
      <c r="H85" s="2" t="s">
        <v>13</v>
      </c>
      <c r="I85" s="2">
        <f t="shared" si="3"/>
        <v>310</v>
      </c>
      <c r="J85" s="2">
        <f t="shared" si="4"/>
        <v>62</v>
      </c>
      <c r="K85" s="2" t="str">
        <f t="shared" si="5"/>
        <v>B</v>
      </c>
    </row>
    <row r="86" spans="1:11" x14ac:dyDescent="0.3">
      <c r="A86" s="7" t="s">
        <v>164</v>
      </c>
      <c r="B86" s="2" t="s">
        <v>165</v>
      </c>
      <c r="C86" s="2">
        <v>51</v>
      </c>
      <c r="D86" s="2">
        <v>100</v>
      </c>
      <c r="E86" s="2">
        <v>30</v>
      </c>
      <c r="F86" s="2">
        <v>66</v>
      </c>
      <c r="G86" s="2">
        <v>74</v>
      </c>
      <c r="H86" s="2" t="s">
        <v>13</v>
      </c>
      <c r="I86" s="2">
        <f t="shared" si="3"/>
        <v>321</v>
      </c>
      <c r="J86" s="2">
        <f t="shared" si="4"/>
        <v>64.2</v>
      </c>
      <c r="K86" s="2" t="str">
        <f t="shared" si="5"/>
        <v>B</v>
      </c>
    </row>
    <row r="87" spans="1:11" x14ac:dyDescent="0.3">
      <c r="A87" s="7" t="s">
        <v>166</v>
      </c>
      <c r="B87" s="2" t="s">
        <v>167</v>
      </c>
      <c r="C87" s="2">
        <v>83</v>
      </c>
      <c r="D87" s="2">
        <v>43</v>
      </c>
      <c r="E87" s="2">
        <v>31</v>
      </c>
      <c r="F87" s="2">
        <v>57</v>
      </c>
      <c r="G87" s="2">
        <v>55</v>
      </c>
      <c r="H87" s="2" t="s">
        <v>13</v>
      </c>
      <c r="I87" s="2">
        <f t="shared" si="3"/>
        <v>269</v>
      </c>
      <c r="J87" s="2">
        <f t="shared" si="4"/>
        <v>53.8</v>
      </c>
      <c r="K87" s="2" t="str">
        <f t="shared" si="5"/>
        <v>C</v>
      </c>
    </row>
    <row r="88" spans="1:11" x14ac:dyDescent="0.3">
      <c r="A88" s="7" t="s">
        <v>168</v>
      </c>
      <c r="B88" s="2" t="s">
        <v>169</v>
      </c>
      <c r="C88" s="2">
        <v>65</v>
      </c>
      <c r="D88" s="2">
        <v>97</v>
      </c>
      <c r="E88" s="2">
        <v>60</v>
      </c>
      <c r="F88" s="2">
        <v>90</v>
      </c>
      <c r="G88" s="2">
        <v>36</v>
      </c>
      <c r="H88" s="2" t="s">
        <v>13</v>
      </c>
      <c r="I88" s="2">
        <f t="shared" si="3"/>
        <v>348</v>
      </c>
      <c r="J88" s="2">
        <f t="shared" si="4"/>
        <v>69.599999999999994</v>
      </c>
      <c r="K88" s="2" t="str">
        <f t="shared" si="5"/>
        <v>B</v>
      </c>
    </row>
    <row r="89" spans="1:11" x14ac:dyDescent="0.3">
      <c r="A89" s="7" t="s">
        <v>170</v>
      </c>
      <c r="B89" s="2" t="s">
        <v>171</v>
      </c>
      <c r="C89" s="2">
        <v>47</v>
      </c>
      <c r="D89" s="2">
        <v>96</v>
      </c>
      <c r="E89" s="2">
        <v>89</v>
      </c>
      <c r="F89" s="2">
        <v>100</v>
      </c>
      <c r="G89" s="2">
        <v>30</v>
      </c>
      <c r="H89" s="2" t="s">
        <v>13</v>
      </c>
      <c r="I89" s="2">
        <f t="shared" si="3"/>
        <v>362</v>
      </c>
      <c r="J89" s="2">
        <f t="shared" si="4"/>
        <v>72.400000000000006</v>
      </c>
      <c r="K89" s="2" t="str">
        <f t="shared" si="5"/>
        <v>B</v>
      </c>
    </row>
    <row r="90" spans="1:11" x14ac:dyDescent="0.3">
      <c r="A90" s="7" t="s">
        <v>172</v>
      </c>
      <c r="B90" s="2" t="s">
        <v>173</v>
      </c>
      <c r="C90" s="2">
        <v>78</v>
      </c>
      <c r="D90" s="2">
        <v>69</v>
      </c>
      <c r="E90" s="2">
        <v>68</v>
      </c>
      <c r="F90" s="2">
        <v>47</v>
      </c>
      <c r="G90" s="2">
        <v>82</v>
      </c>
      <c r="H90" s="2" t="s">
        <v>13</v>
      </c>
      <c r="I90" s="2">
        <f t="shared" si="3"/>
        <v>344</v>
      </c>
      <c r="J90" s="2">
        <f t="shared" si="4"/>
        <v>68.8</v>
      </c>
      <c r="K90" s="2" t="str">
        <f t="shared" si="5"/>
        <v>B</v>
      </c>
    </row>
    <row r="91" spans="1:11" x14ac:dyDescent="0.3">
      <c r="A91" s="7" t="s">
        <v>174</v>
      </c>
      <c r="B91" s="2" t="s">
        <v>175</v>
      </c>
      <c r="C91" s="2">
        <v>65</v>
      </c>
      <c r="D91" s="2">
        <v>92</v>
      </c>
      <c r="E91" s="2">
        <v>96</v>
      </c>
      <c r="F91" s="2">
        <v>69</v>
      </c>
      <c r="G91" s="2">
        <v>63</v>
      </c>
      <c r="H91" s="2" t="s">
        <v>13</v>
      </c>
      <c r="I91" s="2">
        <f t="shared" si="3"/>
        <v>385</v>
      </c>
      <c r="J91" s="2">
        <f t="shared" si="4"/>
        <v>77</v>
      </c>
      <c r="K91" s="2" t="str">
        <f t="shared" si="5"/>
        <v>A</v>
      </c>
    </row>
    <row r="92" spans="1:11" x14ac:dyDescent="0.3">
      <c r="A92" s="7" t="s">
        <v>176</v>
      </c>
      <c r="B92" s="2" t="s">
        <v>177</v>
      </c>
      <c r="C92" s="2">
        <v>65</v>
      </c>
      <c r="D92" s="2">
        <v>88</v>
      </c>
      <c r="E92" s="2">
        <v>33</v>
      </c>
      <c r="F92" s="2">
        <v>30</v>
      </c>
      <c r="G92" s="2">
        <v>46</v>
      </c>
      <c r="H92" s="2" t="s">
        <v>13</v>
      </c>
      <c r="I92" s="2">
        <f t="shared" si="3"/>
        <v>262</v>
      </c>
      <c r="J92" s="2">
        <f t="shared" si="4"/>
        <v>52.4</v>
      </c>
      <c r="K92" s="2" t="str">
        <f t="shared" si="5"/>
        <v>C</v>
      </c>
    </row>
    <row r="93" spans="1:11" x14ac:dyDescent="0.3">
      <c r="A93" s="7" t="s">
        <v>178</v>
      </c>
      <c r="B93" s="2" t="s">
        <v>179</v>
      </c>
      <c r="C93" s="2">
        <v>31</v>
      </c>
      <c r="D93" s="2">
        <v>84</v>
      </c>
      <c r="E93" s="2">
        <v>63</v>
      </c>
      <c r="F93" s="2">
        <v>80</v>
      </c>
      <c r="G93" s="2">
        <v>66</v>
      </c>
      <c r="H93" s="2" t="s">
        <v>13</v>
      </c>
      <c r="I93" s="2">
        <f t="shared" si="3"/>
        <v>324</v>
      </c>
      <c r="J93" s="2">
        <f t="shared" si="4"/>
        <v>64.8</v>
      </c>
      <c r="K93" s="2" t="str">
        <f t="shared" si="5"/>
        <v>B</v>
      </c>
    </row>
    <row r="94" spans="1:11" x14ac:dyDescent="0.3">
      <c r="A94" s="7" t="s">
        <v>180</v>
      </c>
      <c r="B94" s="2" t="s">
        <v>143</v>
      </c>
      <c r="C94" s="2">
        <v>35</v>
      </c>
      <c r="D94" s="2">
        <v>76</v>
      </c>
      <c r="E94" s="2">
        <v>76</v>
      </c>
      <c r="F94" s="2">
        <v>30</v>
      </c>
      <c r="G94" s="2">
        <v>85</v>
      </c>
      <c r="H94" s="2" t="s">
        <v>13</v>
      </c>
      <c r="I94" s="2">
        <f t="shared" si="3"/>
        <v>302</v>
      </c>
      <c r="J94" s="2">
        <f t="shared" si="4"/>
        <v>60.4</v>
      </c>
      <c r="K94" s="2" t="str">
        <f t="shared" si="5"/>
        <v>B</v>
      </c>
    </row>
    <row r="95" spans="1:11" x14ac:dyDescent="0.3">
      <c r="A95" s="7" t="s">
        <v>181</v>
      </c>
      <c r="B95" s="2" t="s">
        <v>182</v>
      </c>
      <c r="C95" s="2">
        <v>98</v>
      </c>
      <c r="D95" s="2">
        <v>37</v>
      </c>
      <c r="E95" s="2">
        <v>51</v>
      </c>
      <c r="F95" s="2">
        <v>35</v>
      </c>
      <c r="G95" s="2">
        <v>40</v>
      </c>
      <c r="H95" s="2" t="s">
        <v>13</v>
      </c>
      <c r="I95" s="2">
        <f t="shared" si="3"/>
        <v>261</v>
      </c>
      <c r="J95" s="2">
        <f t="shared" si="4"/>
        <v>52.2</v>
      </c>
      <c r="K95" s="2" t="str">
        <f t="shared" si="5"/>
        <v>C</v>
      </c>
    </row>
    <row r="96" spans="1:11" x14ac:dyDescent="0.3">
      <c r="A96" s="7" t="s">
        <v>183</v>
      </c>
      <c r="B96" s="2" t="s">
        <v>184</v>
      </c>
      <c r="C96" s="2">
        <v>88</v>
      </c>
      <c r="D96" s="2">
        <v>83</v>
      </c>
      <c r="E96" s="2">
        <v>62</v>
      </c>
      <c r="F96" s="2">
        <v>35</v>
      </c>
      <c r="G96" s="2">
        <v>58</v>
      </c>
      <c r="H96" s="2" t="s">
        <v>13</v>
      </c>
      <c r="I96" s="2">
        <f t="shared" si="3"/>
        <v>326</v>
      </c>
      <c r="J96" s="2">
        <f t="shared" si="4"/>
        <v>65.2</v>
      </c>
      <c r="K96" s="2" t="str">
        <f t="shared" si="5"/>
        <v>B</v>
      </c>
    </row>
    <row r="97" spans="1:11" x14ac:dyDescent="0.3">
      <c r="A97" s="7" t="s">
        <v>185</v>
      </c>
      <c r="B97" s="2" t="s">
        <v>186</v>
      </c>
      <c r="C97" s="2">
        <v>60</v>
      </c>
      <c r="D97" s="2">
        <v>38</v>
      </c>
      <c r="E97" s="2">
        <v>64</v>
      </c>
      <c r="F97" s="2">
        <v>63</v>
      </c>
      <c r="G97" s="2">
        <v>78</v>
      </c>
      <c r="H97" s="2" t="s">
        <v>13</v>
      </c>
      <c r="I97" s="2">
        <f t="shared" si="3"/>
        <v>303</v>
      </c>
      <c r="J97" s="2">
        <f t="shared" si="4"/>
        <v>60.6</v>
      </c>
      <c r="K97" s="2" t="str">
        <f t="shared" si="5"/>
        <v>B</v>
      </c>
    </row>
    <row r="98" spans="1:11" x14ac:dyDescent="0.3">
      <c r="A98" s="7" t="s">
        <v>187</v>
      </c>
      <c r="B98" s="2" t="s">
        <v>188</v>
      </c>
      <c r="C98" s="2">
        <v>84</v>
      </c>
      <c r="D98" s="2">
        <v>98</v>
      </c>
      <c r="E98" s="2">
        <v>56</v>
      </c>
      <c r="F98" s="2">
        <v>53</v>
      </c>
      <c r="G98" s="2">
        <v>78</v>
      </c>
      <c r="H98" s="2" t="s">
        <v>13</v>
      </c>
      <c r="I98" s="2">
        <f t="shared" si="3"/>
        <v>369</v>
      </c>
      <c r="J98" s="2">
        <f t="shared" si="4"/>
        <v>73.8</v>
      </c>
      <c r="K98" s="2" t="str">
        <f t="shared" si="5"/>
        <v>B</v>
      </c>
    </row>
    <row r="99" spans="1:11" x14ac:dyDescent="0.3">
      <c r="A99" s="7" t="s">
        <v>189</v>
      </c>
      <c r="B99" s="2" t="s">
        <v>190</v>
      </c>
      <c r="C99" s="2">
        <v>98</v>
      </c>
      <c r="D99" s="2">
        <v>82</v>
      </c>
      <c r="E99" s="2">
        <v>40</v>
      </c>
      <c r="F99" s="2">
        <v>85</v>
      </c>
      <c r="G99" s="2">
        <v>56</v>
      </c>
      <c r="H99" s="2" t="s">
        <v>13</v>
      </c>
      <c r="I99" s="2">
        <f t="shared" si="3"/>
        <v>361</v>
      </c>
      <c r="J99" s="2">
        <f t="shared" si="4"/>
        <v>72.2</v>
      </c>
      <c r="K99" s="2" t="str">
        <f t="shared" si="5"/>
        <v>B</v>
      </c>
    </row>
    <row r="100" spans="1:11" x14ac:dyDescent="0.3">
      <c r="A100" s="7" t="s">
        <v>191</v>
      </c>
      <c r="B100" s="2" t="s">
        <v>192</v>
      </c>
      <c r="C100" s="2">
        <v>92</v>
      </c>
      <c r="D100" s="2">
        <v>86</v>
      </c>
      <c r="E100" s="2">
        <v>36</v>
      </c>
      <c r="F100" s="2">
        <v>96</v>
      </c>
      <c r="G100" s="2">
        <v>54</v>
      </c>
      <c r="H100" s="2" t="s">
        <v>13</v>
      </c>
      <c r="I100" s="2">
        <f t="shared" si="3"/>
        <v>364</v>
      </c>
      <c r="J100" s="2">
        <f t="shared" si="4"/>
        <v>72.8</v>
      </c>
      <c r="K100" s="2" t="str">
        <f t="shared" si="5"/>
        <v>B</v>
      </c>
    </row>
    <row r="101" spans="1:11" x14ac:dyDescent="0.3">
      <c r="A101" s="7" t="s">
        <v>193</v>
      </c>
      <c r="B101" s="2" t="s">
        <v>194</v>
      </c>
      <c r="C101" s="2">
        <v>38</v>
      </c>
      <c r="D101" s="2">
        <v>74</v>
      </c>
      <c r="E101" s="2">
        <v>62</v>
      </c>
      <c r="F101" s="2">
        <v>37</v>
      </c>
      <c r="G101" s="2">
        <v>35</v>
      </c>
      <c r="H101" s="2" t="s">
        <v>13</v>
      </c>
      <c r="I101" s="2">
        <f t="shared" si="3"/>
        <v>246</v>
      </c>
      <c r="J101" s="2">
        <f t="shared" si="4"/>
        <v>49.2</v>
      </c>
      <c r="K101" s="2" t="str">
        <f t="shared" si="5"/>
        <v>C</v>
      </c>
    </row>
    <row r="102" spans="1:11" x14ac:dyDescent="0.3">
      <c r="A102" s="7" t="s">
        <v>195</v>
      </c>
      <c r="B102" s="2" t="s">
        <v>196</v>
      </c>
      <c r="C102" s="2">
        <v>71</v>
      </c>
      <c r="D102" s="2">
        <v>41</v>
      </c>
      <c r="E102" s="2">
        <v>84</v>
      </c>
      <c r="F102" s="2">
        <v>30</v>
      </c>
      <c r="G102" s="2">
        <v>84</v>
      </c>
      <c r="H102" s="2" t="s">
        <v>13</v>
      </c>
      <c r="I102" s="2">
        <f t="shared" si="3"/>
        <v>310</v>
      </c>
      <c r="J102" s="2">
        <f t="shared" si="4"/>
        <v>62</v>
      </c>
      <c r="K102" s="2" t="str">
        <f t="shared" si="5"/>
        <v>B</v>
      </c>
    </row>
    <row r="103" spans="1:11" x14ac:dyDescent="0.3">
      <c r="A103" s="7" t="s">
        <v>197</v>
      </c>
      <c r="B103" s="2" t="s">
        <v>12</v>
      </c>
      <c r="C103" s="2">
        <v>85</v>
      </c>
      <c r="D103" s="2">
        <v>67</v>
      </c>
      <c r="E103" s="2">
        <v>93</v>
      </c>
      <c r="F103" s="2">
        <v>76</v>
      </c>
      <c r="G103" s="2">
        <v>62</v>
      </c>
      <c r="H103" s="2" t="s">
        <v>13</v>
      </c>
      <c r="I103" s="2">
        <f t="shared" si="3"/>
        <v>383</v>
      </c>
      <c r="J103" s="2">
        <f t="shared" si="4"/>
        <v>76.599999999999994</v>
      </c>
      <c r="K103" s="2" t="str">
        <f t="shared" si="5"/>
        <v>A</v>
      </c>
    </row>
    <row r="104" spans="1:11" x14ac:dyDescent="0.3">
      <c r="A104" s="7" t="s">
        <v>198</v>
      </c>
      <c r="B104" s="2" t="s">
        <v>199</v>
      </c>
      <c r="C104" s="2">
        <v>56</v>
      </c>
      <c r="D104" s="2">
        <v>33</v>
      </c>
      <c r="E104" s="2">
        <v>87</v>
      </c>
      <c r="F104" s="2">
        <v>68</v>
      </c>
      <c r="G104" s="2">
        <v>51</v>
      </c>
      <c r="H104" s="2" t="s">
        <v>13</v>
      </c>
      <c r="I104" s="2">
        <f t="shared" si="3"/>
        <v>295</v>
      </c>
      <c r="J104" s="2">
        <f t="shared" si="4"/>
        <v>59</v>
      </c>
      <c r="K104" s="2" t="str">
        <f t="shared" si="5"/>
        <v>C</v>
      </c>
    </row>
    <row r="105" spans="1:11" x14ac:dyDescent="0.3">
      <c r="A105" s="7" t="s">
        <v>200</v>
      </c>
      <c r="B105" s="2" t="s">
        <v>201</v>
      </c>
      <c r="C105" s="2">
        <v>62</v>
      </c>
      <c r="D105" s="2">
        <v>35</v>
      </c>
      <c r="E105" s="2">
        <v>93</v>
      </c>
      <c r="F105" s="2">
        <v>87</v>
      </c>
      <c r="G105" s="2">
        <v>85</v>
      </c>
      <c r="H105" s="2" t="s">
        <v>13</v>
      </c>
      <c r="I105" s="2">
        <f t="shared" si="3"/>
        <v>362</v>
      </c>
      <c r="J105" s="2">
        <f t="shared" si="4"/>
        <v>72.400000000000006</v>
      </c>
      <c r="K105" s="2" t="str">
        <f t="shared" si="5"/>
        <v>B</v>
      </c>
    </row>
    <row r="106" spans="1:11" x14ac:dyDescent="0.3">
      <c r="A106" s="7" t="s">
        <v>202</v>
      </c>
      <c r="B106" s="2" t="s">
        <v>203</v>
      </c>
      <c r="C106" s="2">
        <v>87</v>
      </c>
      <c r="D106" s="2">
        <v>94</v>
      </c>
      <c r="E106" s="2">
        <v>33</v>
      </c>
      <c r="F106" s="2">
        <v>31</v>
      </c>
      <c r="G106" s="2">
        <v>57</v>
      </c>
      <c r="H106" s="2" t="s">
        <v>13</v>
      </c>
      <c r="I106" s="2">
        <f t="shared" si="3"/>
        <v>302</v>
      </c>
      <c r="J106" s="2">
        <f t="shared" si="4"/>
        <v>60.4</v>
      </c>
      <c r="K106" s="2" t="str">
        <f t="shared" si="5"/>
        <v>B</v>
      </c>
    </row>
    <row r="107" spans="1:11" x14ac:dyDescent="0.3">
      <c r="A107" s="7" t="s">
        <v>204</v>
      </c>
      <c r="B107" s="2" t="s">
        <v>205</v>
      </c>
      <c r="C107" s="2">
        <v>45</v>
      </c>
      <c r="D107" s="2">
        <v>87</v>
      </c>
      <c r="E107" s="2">
        <v>70</v>
      </c>
      <c r="F107" s="2">
        <v>77</v>
      </c>
      <c r="G107" s="2">
        <v>80</v>
      </c>
      <c r="H107" s="2" t="s">
        <v>13</v>
      </c>
      <c r="I107" s="2">
        <f t="shared" si="3"/>
        <v>359</v>
      </c>
      <c r="J107" s="2">
        <f t="shared" si="4"/>
        <v>71.8</v>
      </c>
      <c r="K107" s="2" t="str">
        <f t="shared" si="5"/>
        <v>B</v>
      </c>
    </row>
    <row r="108" spans="1:11" x14ac:dyDescent="0.3">
      <c r="A108" s="7" t="s">
        <v>206</v>
      </c>
      <c r="B108" s="2" t="s">
        <v>207</v>
      </c>
      <c r="C108" s="2">
        <v>98</v>
      </c>
      <c r="D108" s="2">
        <v>45</v>
      </c>
      <c r="E108" s="2">
        <v>72</v>
      </c>
      <c r="F108" s="2">
        <v>51</v>
      </c>
      <c r="G108" s="2">
        <v>68</v>
      </c>
      <c r="H108" s="2" t="s">
        <v>13</v>
      </c>
      <c r="I108" s="2">
        <f t="shared" si="3"/>
        <v>334</v>
      </c>
      <c r="J108" s="2">
        <f t="shared" si="4"/>
        <v>66.8</v>
      </c>
      <c r="K108" s="2" t="str">
        <f t="shared" si="5"/>
        <v>B</v>
      </c>
    </row>
    <row r="109" spans="1:11" x14ac:dyDescent="0.3">
      <c r="A109" s="7" t="s">
        <v>208</v>
      </c>
      <c r="B109" s="2" t="s">
        <v>209</v>
      </c>
      <c r="C109" s="2">
        <v>47</v>
      </c>
      <c r="D109" s="2">
        <v>61</v>
      </c>
      <c r="E109" s="2">
        <v>54</v>
      </c>
      <c r="F109" s="2">
        <v>76</v>
      </c>
      <c r="G109" s="2">
        <v>76</v>
      </c>
      <c r="H109" s="2" t="s">
        <v>13</v>
      </c>
      <c r="I109" s="2">
        <f t="shared" si="3"/>
        <v>314</v>
      </c>
      <c r="J109" s="2">
        <f t="shared" si="4"/>
        <v>62.8</v>
      </c>
      <c r="K109" s="2" t="str">
        <f t="shared" si="5"/>
        <v>B</v>
      </c>
    </row>
    <row r="110" spans="1:11" x14ac:dyDescent="0.3">
      <c r="A110" s="7" t="s">
        <v>210</v>
      </c>
      <c r="B110" s="2" t="s">
        <v>110</v>
      </c>
      <c r="C110" s="2">
        <v>75</v>
      </c>
      <c r="D110" s="2">
        <v>57</v>
      </c>
      <c r="E110" s="2">
        <v>68</v>
      </c>
      <c r="F110" s="2">
        <v>48</v>
      </c>
      <c r="G110" s="2">
        <v>100</v>
      </c>
      <c r="H110" s="2" t="s">
        <v>13</v>
      </c>
      <c r="I110" s="2">
        <f t="shared" si="3"/>
        <v>348</v>
      </c>
      <c r="J110" s="2">
        <f t="shared" si="4"/>
        <v>69.599999999999994</v>
      </c>
      <c r="K110" s="2" t="str">
        <f t="shared" si="5"/>
        <v>B</v>
      </c>
    </row>
    <row r="111" spans="1:11" x14ac:dyDescent="0.3">
      <c r="A111" s="7" t="s">
        <v>211</v>
      </c>
      <c r="B111" s="2" t="s">
        <v>212</v>
      </c>
      <c r="C111" s="2">
        <v>70</v>
      </c>
      <c r="D111" s="2">
        <v>79</v>
      </c>
      <c r="E111" s="2">
        <v>78</v>
      </c>
      <c r="F111" s="2">
        <v>61</v>
      </c>
      <c r="G111" s="2">
        <v>33</v>
      </c>
      <c r="H111" s="2" t="s">
        <v>13</v>
      </c>
      <c r="I111" s="2">
        <f t="shared" si="3"/>
        <v>321</v>
      </c>
      <c r="J111" s="2">
        <f t="shared" si="4"/>
        <v>64.2</v>
      </c>
      <c r="K111" s="2" t="str">
        <f t="shared" si="5"/>
        <v>B</v>
      </c>
    </row>
    <row r="112" spans="1:11" x14ac:dyDescent="0.3">
      <c r="A112" s="7" t="s">
        <v>213</v>
      </c>
      <c r="B112" s="2" t="s">
        <v>173</v>
      </c>
      <c r="C112" s="2">
        <v>100</v>
      </c>
      <c r="D112" s="2">
        <v>51</v>
      </c>
      <c r="E112" s="2">
        <v>74</v>
      </c>
      <c r="F112" s="2">
        <v>69</v>
      </c>
      <c r="G112" s="2">
        <v>77</v>
      </c>
      <c r="H112" s="2" t="s">
        <v>13</v>
      </c>
      <c r="I112" s="2">
        <f t="shared" si="3"/>
        <v>371</v>
      </c>
      <c r="J112" s="2">
        <f t="shared" si="4"/>
        <v>74.2</v>
      </c>
      <c r="K112" s="2" t="str">
        <f t="shared" si="5"/>
        <v>B</v>
      </c>
    </row>
    <row r="113" spans="1:11" x14ac:dyDescent="0.3">
      <c r="A113" s="7" t="s">
        <v>214</v>
      </c>
      <c r="B113" s="2" t="s">
        <v>199</v>
      </c>
      <c r="C113" s="2">
        <v>62</v>
      </c>
      <c r="D113" s="2">
        <v>40</v>
      </c>
      <c r="E113" s="2">
        <v>58</v>
      </c>
      <c r="F113" s="2">
        <v>36</v>
      </c>
      <c r="G113" s="2">
        <v>32</v>
      </c>
      <c r="H113" s="2" t="s">
        <v>13</v>
      </c>
      <c r="I113" s="2">
        <f t="shared" si="3"/>
        <v>228</v>
      </c>
      <c r="J113" s="2">
        <f t="shared" si="4"/>
        <v>45.6</v>
      </c>
      <c r="K113" s="2" t="str">
        <f t="shared" si="5"/>
        <v>C</v>
      </c>
    </row>
    <row r="114" spans="1:11" x14ac:dyDescent="0.3">
      <c r="A114" s="7" t="s">
        <v>215</v>
      </c>
      <c r="B114" s="2" t="s">
        <v>216</v>
      </c>
      <c r="C114" s="2">
        <v>73</v>
      </c>
      <c r="D114" s="2">
        <v>80</v>
      </c>
      <c r="E114" s="2">
        <v>84</v>
      </c>
      <c r="F114" s="2">
        <v>65</v>
      </c>
      <c r="G114" s="2">
        <v>80</v>
      </c>
      <c r="H114" s="2" t="s">
        <v>13</v>
      </c>
      <c r="I114" s="2">
        <f t="shared" si="3"/>
        <v>382</v>
      </c>
      <c r="J114" s="2">
        <f t="shared" si="4"/>
        <v>76.400000000000006</v>
      </c>
      <c r="K114" s="2" t="str">
        <f t="shared" si="5"/>
        <v>A</v>
      </c>
    </row>
    <row r="115" spans="1:11" x14ac:dyDescent="0.3">
      <c r="A115" s="7" t="s">
        <v>217</v>
      </c>
      <c r="B115" s="2" t="s">
        <v>119</v>
      </c>
      <c r="C115" s="2">
        <v>76</v>
      </c>
      <c r="D115" s="2">
        <v>100</v>
      </c>
      <c r="E115" s="2">
        <v>44</v>
      </c>
      <c r="F115" s="2">
        <v>99</v>
      </c>
      <c r="G115" s="2">
        <v>37</v>
      </c>
      <c r="H115" s="2" t="s">
        <v>13</v>
      </c>
      <c r="I115" s="2">
        <f t="shared" si="3"/>
        <v>356</v>
      </c>
      <c r="J115" s="2">
        <f t="shared" si="4"/>
        <v>71.2</v>
      </c>
      <c r="K115" s="2" t="str">
        <f t="shared" si="5"/>
        <v>B</v>
      </c>
    </row>
    <row r="116" spans="1:11" x14ac:dyDescent="0.3">
      <c r="A116" s="7" t="s">
        <v>218</v>
      </c>
      <c r="B116" s="2" t="s">
        <v>56</v>
      </c>
      <c r="C116" s="2">
        <v>30</v>
      </c>
      <c r="D116" s="2">
        <v>36</v>
      </c>
      <c r="E116" s="2">
        <v>99</v>
      </c>
      <c r="F116" s="2">
        <v>45</v>
      </c>
      <c r="G116" s="2">
        <v>72</v>
      </c>
      <c r="H116" s="2" t="s">
        <v>13</v>
      </c>
      <c r="I116" s="2">
        <f t="shared" si="3"/>
        <v>282</v>
      </c>
      <c r="J116" s="2">
        <f t="shared" si="4"/>
        <v>56.4</v>
      </c>
      <c r="K116" s="2" t="str">
        <f t="shared" si="5"/>
        <v>C</v>
      </c>
    </row>
    <row r="117" spans="1:11" x14ac:dyDescent="0.3">
      <c r="A117" s="7" t="s">
        <v>219</v>
      </c>
      <c r="B117" s="2" t="s">
        <v>220</v>
      </c>
      <c r="C117" s="2">
        <v>86</v>
      </c>
      <c r="D117" s="2">
        <v>42</v>
      </c>
      <c r="E117" s="2">
        <v>76</v>
      </c>
      <c r="F117" s="2">
        <v>32</v>
      </c>
      <c r="G117" s="2">
        <v>73</v>
      </c>
      <c r="H117" s="2" t="s">
        <v>13</v>
      </c>
      <c r="I117" s="2">
        <f t="shared" si="3"/>
        <v>309</v>
      </c>
      <c r="J117" s="2">
        <f t="shared" si="4"/>
        <v>61.8</v>
      </c>
      <c r="K117" s="2" t="str">
        <f t="shared" si="5"/>
        <v>B</v>
      </c>
    </row>
    <row r="118" spans="1:11" x14ac:dyDescent="0.3">
      <c r="A118" s="7" t="s">
        <v>221</v>
      </c>
      <c r="B118" s="2" t="s">
        <v>222</v>
      </c>
      <c r="C118" s="2">
        <v>93</v>
      </c>
      <c r="D118" s="2">
        <v>64</v>
      </c>
      <c r="E118" s="2">
        <v>76</v>
      </c>
      <c r="F118" s="2">
        <v>50</v>
      </c>
      <c r="G118" s="2">
        <v>59</v>
      </c>
      <c r="H118" s="2" t="s">
        <v>13</v>
      </c>
      <c r="I118" s="2">
        <f t="shared" si="3"/>
        <v>342</v>
      </c>
      <c r="J118" s="2">
        <f t="shared" si="4"/>
        <v>68.400000000000006</v>
      </c>
      <c r="K118" s="2" t="str">
        <f t="shared" si="5"/>
        <v>B</v>
      </c>
    </row>
    <row r="119" spans="1:11" x14ac:dyDescent="0.3">
      <c r="A119" s="7" t="s">
        <v>223</v>
      </c>
      <c r="B119" s="2" t="s">
        <v>224</v>
      </c>
      <c r="C119" s="2">
        <v>88</v>
      </c>
      <c r="D119" s="2">
        <v>80</v>
      </c>
      <c r="E119" s="2">
        <v>97</v>
      </c>
      <c r="F119" s="2">
        <v>42</v>
      </c>
      <c r="G119" s="2">
        <v>35</v>
      </c>
      <c r="H119" s="2" t="s">
        <v>13</v>
      </c>
      <c r="I119" s="2">
        <f t="shared" si="3"/>
        <v>342</v>
      </c>
      <c r="J119" s="2">
        <f t="shared" si="4"/>
        <v>68.400000000000006</v>
      </c>
      <c r="K119" s="2" t="str">
        <f t="shared" si="5"/>
        <v>B</v>
      </c>
    </row>
    <row r="120" spans="1:11" x14ac:dyDescent="0.3">
      <c r="A120" s="7" t="s">
        <v>225</v>
      </c>
      <c r="B120" s="2" t="s">
        <v>226</v>
      </c>
      <c r="C120" s="2">
        <v>32</v>
      </c>
      <c r="D120" s="2">
        <v>63</v>
      </c>
      <c r="E120" s="2">
        <v>82</v>
      </c>
      <c r="F120" s="2">
        <v>78</v>
      </c>
      <c r="G120" s="2">
        <v>94</v>
      </c>
      <c r="H120" s="2" t="s">
        <v>13</v>
      </c>
      <c r="I120" s="2">
        <f t="shared" si="3"/>
        <v>349</v>
      </c>
      <c r="J120" s="2">
        <f t="shared" si="4"/>
        <v>69.8</v>
      </c>
      <c r="K120" s="2" t="str">
        <f t="shared" si="5"/>
        <v>B</v>
      </c>
    </row>
    <row r="121" spans="1:11" x14ac:dyDescent="0.3">
      <c r="A121" s="7" t="s">
        <v>227</v>
      </c>
      <c r="B121" s="2" t="s">
        <v>167</v>
      </c>
      <c r="C121" s="2">
        <v>85</v>
      </c>
      <c r="D121" s="2">
        <v>92</v>
      </c>
      <c r="E121" s="2">
        <v>81</v>
      </c>
      <c r="F121" s="2">
        <v>80</v>
      </c>
      <c r="G121" s="2">
        <v>93</v>
      </c>
      <c r="H121" s="2" t="s">
        <v>13</v>
      </c>
      <c r="I121" s="2">
        <f t="shared" si="3"/>
        <v>431</v>
      </c>
      <c r="J121" s="2">
        <f t="shared" si="4"/>
        <v>86.2</v>
      </c>
      <c r="K121" s="2" t="str">
        <f t="shared" si="5"/>
        <v>A</v>
      </c>
    </row>
    <row r="122" spans="1:11" x14ac:dyDescent="0.3">
      <c r="A122" s="7" t="s">
        <v>228</v>
      </c>
      <c r="B122" s="2" t="s">
        <v>229</v>
      </c>
      <c r="C122" s="2">
        <v>47</v>
      </c>
      <c r="D122" s="2">
        <v>99</v>
      </c>
      <c r="E122" s="2">
        <v>70</v>
      </c>
      <c r="F122" s="2">
        <v>46</v>
      </c>
      <c r="G122" s="2">
        <v>80</v>
      </c>
      <c r="H122" s="2" t="s">
        <v>13</v>
      </c>
      <c r="I122" s="2">
        <f t="shared" si="3"/>
        <v>342</v>
      </c>
      <c r="J122" s="2">
        <f t="shared" si="4"/>
        <v>68.400000000000006</v>
      </c>
      <c r="K122" s="2" t="str">
        <f t="shared" si="5"/>
        <v>B</v>
      </c>
    </row>
    <row r="123" spans="1:11" x14ac:dyDescent="0.3">
      <c r="A123" s="7" t="s">
        <v>230</v>
      </c>
      <c r="B123" s="2" t="s">
        <v>129</v>
      </c>
      <c r="C123" s="2">
        <v>79</v>
      </c>
      <c r="D123" s="2">
        <v>41</v>
      </c>
      <c r="E123" s="2">
        <v>53</v>
      </c>
      <c r="F123" s="2">
        <v>55</v>
      </c>
      <c r="G123" s="2">
        <v>62</v>
      </c>
      <c r="H123" s="2" t="s">
        <v>13</v>
      </c>
      <c r="I123" s="2">
        <f t="shared" si="3"/>
        <v>290</v>
      </c>
      <c r="J123" s="2">
        <f t="shared" si="4"/>
        <v>58</v>
      </c>
      <c r="K123" s="2" t="str">
        <f t="shared" si="5"/>
        <v>C</v>
      </c>
    </row>
    <row r="124" spans="1:11" x14ac:dyDescent="0.3">
      <c r="A124" s="7" t="s">
        <v>231</v>
      </c>
      <c r="B124" s="2" t="s">
        <v>232</v>
      </c>
      <c r="C124" s="2">
        <v>93</v>
      </c>
      <c r="D124" s="2">
        <v>91</v>
      </c>
      <c r="E124" s="2">
        <v>46</v>
      </c>
      <c r="F124" s="2">
        <v>30</v>
      </c>
      <c r="G124" s="2">
        <v>98</v>
      </c>
      <c r="H124" s="2" t="s">
        <v>13</v>
      </c>
      <c r="I124" s="2">
        <f t="shared" si="3"/>
        <v>358</v>
      </c>
      <c r="J124" s="2">
        <f t="shared" si="4"/>
        <v>71.599999999999994</v>
      </c>
      <c r="K124" s="2" t="str">
        <f t="shared" si="5"/>
        <v>B</v>
      </c>
    </row>
    <row r="125" spans="1:11" x14ac:dyDescent="0.3">
      <c r="A125" s="7" t="s">
        <v>233</v>
      </c>
      <c r="B125" s="2" t="s">
        <v>234</v>
      </c>
      <c r="C125" s="2">
        <v>52</v>
      </c>
      <c r="D125" s="2">
        <v>76</v>
      </c>
      <c r="E125" s="2">
        <v>64</v>
      </c>
      <c r="F125" s="2">
        <v>82</v>
      </c>
      <c r="G125" s="2">
        <v>94</v>
      </c>
      <c r="H125" s="2" t="s">
        <v>13</v>
      </c>
      <c r="I125" s="2">
        <f t="shared" si="3"/>
        <v>368</v>
      </c>
      <c r="J125" s="2">
        <f t="shared" si="4"/>
        <v>73.599999999999994</v>
      </c>
      <c r="K125" s="2" t="str">
        <f t="shared" si="5"/>
        <v>B</v>
      </c>
    </row>
    <row r="126" spans="1:11" x14ac:dyDescent="0.3">
      <c r="A126" s="7" t="s">
        <v>235</v>
      </c>
      <c r="B126" s="2" t="s">
        <v>236</v>
      </c>
      <c r="C126" s="2">
        <v>90</v>
      </c>
      <c r="D126" s="2">
        <v>33</v>
      </c>
      <c r="E126" s="2">
        <v>67</v>
      </c>
      <c r="F126" s="2">
        <v>75</v>
      </c>
      <c r="G126" s="2">
        <v>79</v>
      </c>
      <c r="H126" s="2" t="s">
        <v>13</v>
      </c>
      <c r="I126" s="2">
        <f t="shared" si="3"/>
        <v>344</v>
      </c>
      <c r="J126" s="2">
        <f t="shared" si="4"/>
        <v>68.8</v>
      </c>
      <c r="K126" s="2" t="str">
        <f t="shared" si="5"/>
        <v>B</v>
      </c>
    </row>
    <row r="127" spans="1:11" x14ac:dyDescent="0.3">
      <c r="A127" s="7" t="s">
        <v>237</v>
      </c>
      <c r="B127" s="2" t="s">
        <v>238</v>
      </c>
      <c r="C127" s="2">
        <v>68</v>
      </c>
      <c r="D127" s="2">
        <v>76</v>
      </c>
      <c r="E127" s="2">
        <v>61</v>
      </c>
      <c r="F127" s="2">
        <v>57</v>
      </c>
      <c r="G127" s="2">
        <v>74</v>
      </c>
      <c r="H127" s="2" t="s">
        <v>13</v>
      </c>
      <c r="I127" s="2">
        <f t="shared" si="3"/>
        <v>336</v>
      </c>
      <c r="J127" s="2">
        <f t="shared" si="4"/>
        <v>67.2</v>
      </c>
      <c r="K127" s="2" t="str">
        <f t="shared" si="5"/>
        <v>B</v>
      </c>
    </row>
    <row r="128" spans="1:11" x14ac:dyDescent="0.3">
      <c r="A128" s="7" t="s">
        <v>239</v>
      </c>
      <c r="B128" s="2" t="s">
        <v>240</v>
      </c>
      <c r="C128" s="2">
        <v>90</v>
      </c>
      <c r="D128" s="2">
        <v>86</v>
      </c>
      <c r="E128" s="2">
        <v>72</v>
      </c>
      <c r="F128" s="2">
        <v>97</v>
      </c>
      <c r="G128" s="2">
        <v>87</v>
      </c>
      <c r="H128" s="2" t="s">
        <v>13</v>
      </c>
      <c r="I128" s="2">
        <f t="shared" si="3"/>
        <v>432</v>
      </c>
      <c r="J128" s="2">
        <f t="shared" si="4"/>
        <v>86.4</v>
      </c>
      <c r="K128" s="2" t="str">
        <f t="shared" si="5"/>
        <v>A</v>
      </c>
    </row>
    <row r="129" spans="1:11" x14ac:dyDescent="0.3">
      <c r="A129" s="7" t="s">
        <v>241</v>
      </c>
      <c r="B129" s="2" t="s">
        <v>242</v>
      </c>
      <c r="C129" s="2">
        <v>38</v>
      </c>
      <c r="D129" s="2">
        <v>70</v>
      </c>
      <c r="E129" s="2">
        <v>72</v>
      </c>
      <c r="F129" s="2">
        <v>99</v>
      </c>
      <c r="G129" s="2">
        <v>81</v>
      </c>
      <c r="H129" s="2" t="s">
        <v>13</v>
      </c>
      <c r="I129" s="2">
        <f t="shared" si="3"/>
        <v>360</v>
      </c>
      <c r="J129" s="2">
        <f t="shared" si="4"/>
        <v>72</v>
      </c>
      <c r="K129" s="2" t="str">
        <f t="shared" si="5"/>
        <v>B</v>
      </c>
    </row>
    <row r="130" spans="1:11" x14ac:dyDescent="0.3">
      <c r="A130" s="7" t="s">
        <v>243</v>
      </c>
      <c r="B130" s="2" t="s">
        <v>244</v>
      </c>
      <c r="C130" s="2">
        <v>30</v>
      </c>
      <c r="D130" s="2">
        <v>63</v>
      </c>
      <c r="E130" s="2">
        <v>95</v>
      </c>
      <c r="F130" s="2">
        <v>77</v>
      </c>
      <c r="G130" s="2">
        <v>66</v>
      </c>
      <c r="H130" s="2" t="s">
        <v>13</v>
      </c>
      <c r="I130" s="2">
        <f t="shared" si="3"/>
        <v>331</v>
      </c>
      <c r="J130" s="2">
        <f t="shared" si="4"/>
        <v>66.2</v>
      </c>
      <c r="K130" s="2" t="str">
        <f t="shared" si="5"/>
        <v>B</v>
      </c>
    </row>
    <row r="131" spans="1:11" x14ac:dyDescent="0.3">
      <c r="A131" s="7" t="s">
        <v>245</v>
      </c>
      <c r="B131" s="2" t="s">
        <v>18</v>
      </c>
      <c r="C131" s="2">
        <v>47</v>
      </c>
      <c r="D131" s="2">
        <v>43</v>
      </c>
      <c r="E131" s="2">
        <v>47</v>
      </c>
      <c r="F131" s="2">
        <v>64</v>
      </c>
      <c r="G131" s="2">
        <v>40</v>
      </c>
      <c r="H131" s="2" t="s">
        <v>13</v>
      </c>
      <c r="I131" s="2">
        <f t="shared" si="3"/>
        <v>241</v>
      </c>
      <c r="J131" s="2">
        <f t="shared" si="4"/>
        <v>48.2</v>
      </c>
      <c r="K131" s="2" t="str">
        <f t="shared" si="5"/>
        <v>C</v>
      </c>
    </row>
    <row r="132" spans="1:11" x14ac:dyDescent="0.3">
      <c r="A132" s="7" t="s">
        <v>246</v>
      </c>
      <c r="B132" s="2" t="s">
        <v>169</v>
      </c>
      <c r="C132" s="2">
        <v>91</v>
      </c>
      <c r="D132" s="2">
        <v>67</v>
      </c>
      <c r="E132" s="2">
        <v>51</v>
      </c>
      <c r="F132" s="2">
        <v>72</v>
      </c>
      <c r="G132" s="2">
        <v>93</v>
      </c>
      <c r="H132" s="2" t="s">
        <v>13</v>
      </c>
      <c r="I132" s="2">
        <f t="shared" si="3"/>
        <v>374</v>
      </c>
      <c r="J132" s="2">
        <f t="shared" si="4"/>
        <v>74.8</v>
      </c>
      <c r="K132" s="2" t="str">
        <f t="shared" si="5"/>
        <v>B</v>
      </c>
    </row>
    <row r="133" spans="1:11" x14ac:dyDescent="0.3">
      <c r="A133" s="7" t="s">
        <v>247</v>
      </c>
      <c r="B133" s="2" t="s">
        <v>151</v>
      </c>
      <c r="C133" s="2">
        <v>37</v>
      </c>
      <c r="D133" s="2">
        <v>99</v>
      </c>
      <c r="E133" s="2">
        <v>80</v>
      </c>
      <c r="F133" s="2">
        <v>34</v>
      </c>
      <c r="G133" s="2">
        <v>68</v>
      </c>
      <c r="H133" s="2" t="s">
        <v>13</v>
      </c>
      <c r="I133" s="2">
        <f t="shared" si="3"/>
        <v>318</v>
      </c>
      <c r="J133" s="2">
        <f t="shared" si="4"/>
        <v>63.6</v>
      </c>
      <c r="K133" s="2" t="str">
        <f t="shared" si="5"/>
        <v>B</v>
      </c>
    </row>
    <row r="134" spans="1:11" x14ac:dyDescent="0.3">
      <c r="A134" s="7" t="s">
        <v>248</v>
      </c>
      <c r="B134" s="2" t="s">
        <v>249</v>
      </c>
      <c r="C134" s="2">
        <v>30</v>
      </c>
      <c r="D134" s="2">
        <v>37</v>
      </c>
      <c r="E134" s="2">
        <v>39</v>
      </c>
      <c r="F134" s="2">
        <v>57</v>
      </c>
      <c r="G134" s="2">
        <v>68</v>
      </c>
      <c r="H134" s="2" t="s">
        <v>13</v>
      </c>
      <c r="I134" s="2">
        <f t="shared" si="3"/>
        <v>231</v>
      </c>
      <c r="J134" s="2">
        <f t="shared" si="4"/>
        <v>46.2</v>
      </c>
      <c r="K134" s="2" t="str">
        <f t="shared" si="5"/>
        <v>C</v>
      </c>
    </row>
    <row r="135" spans="1:11" x14ac:dyDescent="0.3">
      <c r="A135" s="7" t="s">
        <v>250</v>
      </c>
      <c r="B135" s="2" t="s">
        <v>160</v>
      </c>
      <c r="C135" s="2">
        <v>94</v>
      </c>
      <c r="D135" s="2">
        <v>98</v>
      </c>
      <c r="E135" s="2">
        <v>81</v>
      </c>
      <c r="F135" s="2">
        <v>71</v>
      </c>
      <c r="G135" s="2">
        <v>47</v>
      </c>
      <c r="H135" s="2" t="s">
        <v>13</v>
      </c>
      <c r="I135" s="2">
        <f t="shared" si="3"/>
        <v>391</v>
      </c>
      <c r="J135" s="2">
        <f t="shared" si="4"/>
        <v>78.2</v>
      </c>
      <c r="K135" s="2" t="str">
        <f t="shared" si="5"/>
        <v>A</v>
      </c>
    </row>
    <row r="136" spans="1:11" x14ac:dyDescent="0.3">
      <c r="A136" s="7" t="s">
        <v>251</v>
      </c>
      <c r="B136" s="2" t="s">
        <v>175</v>
      </c>
      <c r="C136" s="2">
        <v>47</v>
      </c>
      <c r="D136" s="2">
        <v>50</v>
      </c>
      <c r="E136" s="2">
        <v>67</v>
      </c>
      <c r="F136" s="2">
        <v>50</v>
      </c>
      <c r="G136" s="2">
        <v>38</v>
      </c>
      <c r="H136" s="2" t="s">
        <v>13</v>
      </c>
      <c r="I136" s="2">
        <f t="shared" si="3"/>
        <v>252</v>
      </c>
      <c r="J136" s="2">
        <f t="shared" si="4"/>
        <v>50.4</v>
      </c>
      <c r="K136" s="2" t="str">
        <f t="shared" si="5"/>
        <v>C</v>
      </c>
    </row>
    <row r="137" spans="1:11" x14ac:dyDescent="0.3">
      <c r="A137" s="7" t="s">
        <v>252</v>
      </c>
      <c r="B137" s="2" t="s">
        <v>253</v>
      </c>
      <c r="C137" s="2">
        <v>69</v>
      </c>
      <c r="D137" s="2">
        <v>84</v>
      </c>
      <c r="E137" s="2">
        <v>62</v>
      </c>
      <c r="F137" s="2">
        <v>54</v>
      </c>
      <c r="G137" s="2">
        <v>92</v>
      </c>
      <c r="H137" s="2" t="s">
        <v>13</v>
      </c>
      <c r="I137" s="2">
        <f t="shared" si="3"/>
        <v>361</v>
      </c>
      <c r="J137" s="2">
        <f t="shared" si="4"/>
        <v>72.2</v>
      </c>
      <c r="K137" s="2" t="str">
        <f t="shared" si="5"/>
        <v>B</v>
      </c>
    </row>
    <row r="138" spans="1:11" x14ac:dyDescent="0.3">
      <c r="A138" s="7" t="s">
        <v>254</v>
      </c>
      <c r="B138" s="2" t="s">
        <v>255</v>
      </c>
      <c r="C138" s="2">
        <v>89</v>
      </c>
      <c r="D138" s="2">
        <v>52</v>
      </c>
      <c r="E138" s="2">
        <v>87</v>
      </c>
      <c r="F138" s="2">
        <v>39</v>
      </c>
      <c r="G138" s="2">
        <v>71</v>
      </c>
      <c r="H138" s="2" t="s">
        <v>13</v>
      </c>
      <c r="I138" s="2">
        <f t="shared" ref="I138:I201" si="6">SUM(C138:G138)</f>
        <v>338</v>
      </c>
      <c r="J138" s="2">
        <f t="shared" ref="J138:J201" si="7">AVERAGE(C138:G138)</f>
        <v>67.599999999999994</v>
      </c>
      <c r="K138" s="2" t="str">
        <f t="shared" ref="K138:K201" si="8">IF(J138&gt;=90,"A+",IF(J138&gt;=75,"A",IF(J138&gt;=60,"B",IF(J138&gt;=45,"C","Fail"))))</f>
        <v>B</v>
      </c>
    </row>
    <row r="139" spans="1:11" x14ac:dyDescent="0.3">
      <c r="A139" s="7" t="s">
        <v>256</v>
      </c>
      <c r="B139" s="2" t="s">
        <v>257</v>
      </c>
      <c r="C139" s="2">
        <v>79</v>
      </c>
      <c r="D139" s="2">
        <v>50</v>
      </c>
      <c r="E139" s="2">
        <v>44</v>
      </c>
      <c r="F139" s="2">
        <v>68</v>
      </c>
      <c r="G139" s="2">
        <v>32</v>
      </c>
      <c r="H139" s="2" t="s">
        <v>13</v>
      </c>
      <c r="I139" s="2">
        <f t="shared" si="6"/>
        <v>273</v>
      </c>
      <c r="J139" s="2">
        <f t="shared" si="7"/>
        <v>54.6</v>
      </c>
      <c r="K139" s="2" t="str">
        <f t="shared" si="8"/>
        <v>C</v>
      </c>
    </row>
    <row r="140" spans="1:11" x14ac:dyDescent="0.3">
      <c r="A140" s="7" t="s">
        <v>258</v>
      </c>
      <c r="B140" s="2" t="s">
        <v>259</v>
      </c>
      <c r="C140" s="2">
        <v>41</v>
      </c>
      <c r="D140" s="2">
        <v>69</v>
      </c>
      <c r="E140" s="2">
        <v>53</v>
      </c>
      <c r="F140" s="2">
        <v>94</v>
      </c>
      <c r="G140" s="2">
        <v>57</v>
      </c>
      <c r="H140" s="2" t="s">
        <v>13</v>
      </c>
      <c r="I140" s="2">
        <f t="shared" si="6"/>
        <v>314</v>
      </c>
      <c r="J140" s="2">
        <f t="shared" si="7"/>
        <v>62.8</v>
      </c>
      <c r="K140" s="2" t="str">
        <f t="shared" si="8"/>
        <v>B</v>
      </c>
    </row>
    <row r="141" spans="1:11" x14ac:dyDescent="0.3">
      <c r="A141" s="7" t="s">
        <v>260</v>
      </c>
      <c r="B141" s="2" t="s">
        <v>80</v>
      </c>
      <c r="C141" s="2">
        <v>98</v>
      </c>
      <c r="D141" s="2">
        <v>51</v>
      </c>
      <c r="E141" s="2">
        <v>42</v>
      </c>
      <c r="F141" s="2">
        <v>63</v>
      </c>
      <c r="G141" s="2">
        <v>63</v>
      </c>
      <c r="H141" s="2" t="s">
        <v>13</v>
      </c>
      <c r="I141" s="2">
        <f t="shared" si="6"/>
        <v>317</v>
      </c>
      <c r="J141" s="2">
        <f t="shared" si="7"/>
        <v>63.4</v>
      </c>
      <c r="K141" s="2" t="str">
        <f t="shared" si="8"/>
        <v>B</v>
      </c>
    </row>
    <row r="142" spans="1:11" x14ac:dyDescent="0.3">
      <c r="A142" s="7" t="s">
        <v>261</v>
      </c>
      <c r="B142" s="2" t="s">
        <v>262</v>
      </c>
      <c r="C142" s="2">
        <v>80</v>
      </c>
      <c r="D142" s="2">
        <v>32</v>
      </c>
      <c r="E142" s="2">
        <v>31</v>
      </c>
      <c r="F142" s="2">
        <v>97</v>
      </c>
      <c r="G142" s="2">
        <v>51</v>
      </c>
      <c r="H142" s="2" t="s">
        <v>13</v>
      </c>
      <c r="I142" s="2">
        <f t="shared" si="6"/>
        <v>291</v>
      </c>
      <c r="J142" s="2">
        <f t="shared" si="7"/>
        <v>58.2</v>
      </c>
      <c r="K142" s="2" t="str">
        <f t="shared" si="8"/>
        <v>C</v>
      </c>
    </row>
    <row r="143" spans="1:11" x14ac:dyDescent="0.3">
      <c r="A143" s="7" t="s">
        <v>263</v>
      </c>
      <c r="B143" s="2" t="s">
        <v>129</v>
      </c>
      <c r="C143" s="2">
        <v>53</v>
      </c>
      <c r="D143" s="2">
        <v>64</v>
      </c>
      <c r="E143" s="2">
        <v>70</v>
      </c>
      <c r="F143" s="2">
        <v>76</v>
      </c>
      <c r="G143" s="2">
        <v>85</v>
      </c>
      <c r="H143" s="2" t="s">
        <v>13</v>
      </c>
      <c r="I143" s="2">
        <f t="shared" si="6"/>
        <v>348</v>
      </c>
      <c r="J143" s="2">
        <f t="shared" si="7"/>
        <v>69.599999999999994</v>
      </c>
      <c r="K143" s="2" t="str">
        <f t="shared" si="8"/>
        <v>B</v>
      </c>
    </row>
    <row r="144" spans="1:11" x14ac:dyDescent="0.3">
      <c r="A144" s="7" t="s">
        <v>264</v>
      </c>
      <c r="B144" s="2" t="s">
        <v>265</v>
      </c>
      <c r="C144" s="2">
        <v>73</v>
      </c>
      <c r="D144" s="2">
        <v>36</v>
      </c>
      <c r="E144" s="2">
        <v>66</v>
      </c>
      <c r="F144" s="2">
        <v>63</v>
      </c>
      <c r="G144" s="2">
        <v>98</v>
      </c>
      <c r="H144" s="2" t="s">
        <v>13</v>
      </c>
      <c r="I144" s="2">
        <f t="shared" si="6"/>
        <v>336</v>
      </c>
      <c r="J144" s="2">
        <f t="shared" si="7"/>
        <v>67.2</v>
      </c>
      <c r="K144" s="2" t="str">
        <f t="shared" si="8"/>
        <v>B</v>
      </c>
    </row>
    <row r="145" spans="1:11" x14ac:dyDescent="0.3">
      <c r="A145" s="7" t="s">
        <v>266</v>
      </c>
      <c r="B145" s="2" t="s">
        <v>267</v>
      </c>
      <c r="C145" s="2">
        <v>39</v>
      </c>
      <c r="D145" s="2">
        <v>90</v>
      </c>
      <c r="E145" s="2">
        <v>88</v>
      </c>
      <c r="F145" s="2">
        <v>95</v>
      </c>
      <c r="G145" s="2">
        <v>43</v>
      </c>
      <c r="H145" s="2" t="s">
        <v>13</v>
      </c>
      <c r="I145" s="2">
        <f t="shared" si="6"/>
        <v>355</v>
      </c>
      <c r="J145" s="2">
        <f t="shared" si="7"/>
        <v>71</v>
      </c>
      <c r="K145" s="2" t="str">
        <f t="shared" si="8"/>
        <v>B</v>
      </c>
    </row>
    <row r="146" spans="1:11" x14ac:dyDescent="0.3">
      <c r="A146" s="7" t="s">
        <v>268</v>
      </c>
      <c r="B146" s="2" t="s">
        <v>269</v>
      </c>
      <c r="C146" s="2">
        <v>88</v>
      </c>
      <c r="D146" s="2">
        <v>80</v>
      </c>
      <c r="E146" s="2">
        <v>58</v>
      </c>
      <c r="F146" s="2">
        <v>34</v>
      </c>
      <c r="G146" s="2">
        <v>35</v>
      </c>
      <c r="H146" s="2" t="s">
        <v>13</v>
      </c>
      <c r="I146" s="2">
        <f t="shared" si="6"/>
        <v>295</v>
      </c>
      <c r="J146" s="2">
        <f t="shared" si="7"/>
        <v>59</v>
      </c>
      <c r="K146" s="2" t="str">
        <f t="shared" si="8"/>
        <v>C</v>
      </c>
    </row>
    <row r="147" spans="1:11" x14ac:dyDescent="0.3">
      <c r="A147" s="7" t="s">
        <v>270</v>
      </c>
      <c r="B147" s="2" t="s">
        <v>271</v>
      </c>
      <c r="C147" s="2">
        <v>100</v>
      </c>
      <c r="D147" s="2">
        <v>96</v>
      </c>
      <c r="E147" s="2">
        <v>66</v>
      </c>
      <c r="F147" s="2">
        <v>73</v>
      </c>
      <c r="G147" s="2">
        <v>76</v>
      </c>
      <c r="H147" s="2" t="s">
        <v>13</v>
      </c>
      <c r="I147" s="2">
        <f t="shared" si="6"/>
        <v>411</v>
      </c>
      <c r="J147" s="2">
        <f t="shared" si="7"/>
        <v>82.2</v>
      </c>
      <c r="K147" s="2" t="str">
        <f t="shared" si="8"/>
        <v>A</v>
      </c>
    </row>
    <row r="148" spans="1:11" x14ac:dyDescent="0.3">
      <c r="A148" s="7" t="s">
        <v>272</v>
      </c>
      <c r="B148" s="2" t="s">
        <v>273</v>
      </c>
      <c r="C148" s="2">
        <v>77</v>
      </c>
      <c r="D148" s="2">
        <v>96</v>
      </c>
      <c r="E148" s="2">
        <v>33</v>
      </c>
      <c r="F148" s="2">
        <v>48</v>
      </c>
      <c r="G148" s="2">
        <v>54</v>
      </c>
      <c r="H148" s="2" t="s">
        <v>13</v>
      </c>
      <c r="I148" s="2">
        <f t="shared" si="6"/>
        <v>308</v>
      </c>
      <c r="J148" s="2">
        <f t="shared" si="7"/>
        <v>61.6</v>
      </c>
      <c r="K148" s="2" t="str">
        <f t="shared" si="8"/>
        <v>B</v>
      </c>
    </row>
    <row r="149" spans="1:11" x14ac:dyDescent="0.3">
      <c r="A149" s="7" t="s">
        <v>274</v>
      </c>
      <c r="B149" s="2" t="s">
        <v>275</v>
      </c>
      <c r="C149" s="2">
        <v>80</v>
      </c>
      <c r="D149" s="2">
        <v>85</v>
      </c>
      <c r="E149" s="2">
        <v>56</v>
      </c>
      <c r="F149" s="2">
        <v>38</v>
      </c>
      <c r="G149" s="2">
        <v>87</v>
      </c>
      <c r="H149" s="2" t="s">
        <v>13</v>
      </c>
      <c r="I149" s="2">
        <f t="shared" si="6"/>
        <v>346</v>
      </c>
      <c r="J149" s="2">
        <f t="shared" si="7"/>
        <v>69.2</v>
      </c>
      <c r="K149" s="2" t="str">
        <f t="shared" si="8"/>
        <v>B</v>
      </c>
    </row>
    <row r="150" spans="1:11" x14ac:dyDescent="0.3">
      <c r="A150" s="7" t="s">
        <v>276</v>
      </c>
      <c r="B150" s="2" t="s">
        <v>102</v>
      </c>
      <c r="C150" s="2">
        <v>92</v>
      </c>
      <c r="D150" s="2">
        <v>45</v>
      </c>
      <c r="E150" s="2">
        <v>60</v>
      </c>
      <c r="F150" s="2">
        <v>98</v>
      </c>
      <c r="G150" s="2">
        <v>45</v>
      </c>
      <c r="H150" s="2" t="s">
        <v>13</v>
      </c>
      <c r="I150" s="2">
        <f t="shared" si="6"/>
        <v>340</v>
      </c>
      <c r="J150" s="2">
        <f t="shared" si="7"/>
        <v>68</v>
      </c>
      <c r="K150" s="2" t="str">
        <f t="shared" si="8"/>
        <v>B</v>
      </c>
    </row>
    <row r="151" spans="1:11" x14ac:dyDescent="0.3">
      <c r="A151" s="7" t="s">
        <v>277</v>
      </c>
      <c r="B151" s="2" t="s">
        <v>278</v>
      </c>
      <c r="C151" s="2">
        <v>68</v>
      </c>
      <c r="D151" s="2">
        <v>53</v>
      </c>
      <c r="E151" s="2">
        <v>39</v>
      </c>
      <c r="F151" s="2">
        <v>33</v>
      </c>
      <c r="G151" s="2">
        <v>90</v>
      </c>
      <c r="H151" s="2" t="s">
        <v>13</v>
      </c>
      <c r="I151" s="2">
        <f t="shared" si="6"/>
        <v>283</v>
      </c>
      <c r="J151" s="2">
        <f t="shared" si="7"/>
        <v>56.6</v>
      </c>
      <c r="K151" s="2" t="str">
        <f t="shared" si="8"/>
        <v>C</v>
      </c>
    </row>
    <row r="152" spans="1:11" x14ac:dyDescent="0.3">
      <c r="A152" s="7" t="s">
        <v>279</v>
      </c>
      <c r="B152" s="2" t="s">
        <v>280</v>
      </c>
      <c r="C152" s="2">
        <v>46</v>
      </c>
      <c r="D152" s="2">
        <v>79</v>
      </c>
      <c r="E152" s="2">
        <v>82</v>
      </c>
      <c r="F152" s="2">
        <v>67</v>
      </c>
      <c r="G152" s="2">
        <v>36</v>
      </c>
      <c r="H152" s="2" t="s">
        <v>13</v>
      </c>
      <c r="I152" s="2">
        <f t="shared" si="6"/>
        <v>310</v>
      </c>
      <c r="J152" s="2">
        <f t="shared" si="7"/>
        <v>62</v>
      </c>
      <c r="K152" s="2" t="str">
        <f t="shared" si="8"/>
        <v>B</v>
      </c>
    </row>
    <row r="153" spans="1:11" x14ac:dyDescent="0.3">
      <c r="A153" s="7" t="s">
        <v>281</v>
      </c>
      <c r="B153" s="2" t="s">
        <v>138</v>
      </c>
      <c r="C153" s="2">
        <v>78</v>
      </c>
      <c r="D153" s="2">
        <v>78</v>
      </c>
      <c r="E153" s="2">
        <v>45</v>
      </c>
      <c r="F153" s="2">
        <v>86</v>
      </c>
      <c r="G153" s="2">
        <v>65</v>
      </c>
      <c r="H153" s="2" t="s">
        <v>13</v>
      </c>
      <c r="I153" s="2">
        <f t="shared" si="6"/>
        <v>352</v>
      </c>
      <c r="J153" s="2">
        <f t="shared" si="7"/>
        <v>70.400000000000006</v>
      </c>
      <c r="K153" s="2" t="str">
        <f t="shared" si="8"/>
        <v>B</v>
      </c>
    </row>
    <row r="154" spans="1:11" x14ac:dyDescent="0.3">
      <c r="A154" s="7" t="s">
        <v>282</v>
      </c>
      <c r="B154" s="2" t="s">
        <v>283</v>
      </c>
      <c r="C154" s="2">
        <v>78</v>
      </c>
      <c r="D154" s="2">
        <v>88</v>
      </c>
      <c r="E154" s="2">
        <v>49</v>
      </c>
      <c r="F154" s="2">
        <v>85</v>
      </c>
      <c r="G154" s="2">
        <v>93</v>
      </c>
      <c r="H154" s="2" t="s">
        <v>13</v>
      </c>
      <c r="I154" s="2">
        <f t="shared" si="6"/>
        <v>393</v>
      </c>
      <c r="J154" s="2">
        <f t="shared" si="7"/>
        <v>78.599999999999994</v>
      </c>
      <c r="K154" s="2" t="str">
        <f t="shared" si="8"/>
        <v>A</v>
      </c>
    </row>
    <row r="155" spans="1:11" x14ac:dyDescent="0.3">
      <c r="A155" s="7" t="s">
        <v>284</v>
      </c>
      <c r="B155" s="2" t="s">
        <v>236</v>
      </c>
      <c r="C155" s="2">
        <v>69</v>
      </c>
      <c r="D155" s="2">
        <v>92</v>
      </c>
      <c r="E155" s="2">
        <v>52</v>
      </c>
      <c r="F155" s="2">
        <v>78</v>
      </c>
      <c r="G155" s="2">
        <v>52</v>
      </c>
      <c r="H155" s="2" t="s">
        <v>13</v>
      </c>
      <c r="I155" s="2">
        <f t="shared" si="6"/>
        <v>343</v>
      </c>
      <c r="J155" s="2">
        <f t="shared" si="7"/>
        <v>68.599999999999994</v>
      </c>
      <c r="K155" s="2" t="str">
        <f t="shared" si="8"/>
        <v>B</v>
      </c>
    </row>
    <row r="156" spans="1:11" x14ac:dyDescent="0.3">
      <c r="A156" s="7" t="s">
        <v>285</v>
      </c>
      <c r="B156" s="2" t="s">
        <v>286</v>
      </c>
      <c r="C156" s="2">
        <v>85</v>
      </c>
      <c r="D156" s="2">
        <v>81</v>
      </c>
      <c r="E156" s="2">
        <v>61</v>
      </c>
      <c r="F156" s="2">
        <v>62</v>
      </c>
      <c r="G156" s="2">
        <v>40</v>
      </c>
      <c r="H156" s="2" t="s">
        <v>13</v>
      </c>
      <c r="I156" s="2">
        <f t="shared" si="6"/>
        <v>329</v>
      </c>
      <c r="J156" s="2">
        <f t="shared" si="7"/>
        <v>65.8</v>
      </c>
      <c r="K156" s="2" t="str">
        <f t="shared" si="8"/>
        <v>B</v>
      </c>
    </row>
    <row r="157" spans="1:11" x14ac:dyDescent="0.3">
      <c r="A157" s="7" t="s">
        <v>287</v>
      </c>
      <c r="B157" s="2" t="s">
        <v>288</v>
      </c>
      <c r="C157" s="2">
        <v>44</v>
      </c>
      <c r="D157" s="2">
        <v>40</v>
      </c>
      <c r="E157" s="2">
        <v>89</v>
      </c>
      <c r="F157" s="2">
        <v>51</v>
      </c>
      <c r="G157" s="2">
        <v>74</v>
      </c>
      <c r="H157" s="2" t="s">
        <v>13</v>
      </c>
      <c r="I157" s="2">
        <f t="shared" si="6"/>
        <v>298</v>
      </c>
      <c r="J157" s="2">
        <f t="shared" si="7"/>
        <v>59.6</v>
      </c>
      <c r="K157" s="2" t="str">
        <f t="shared" si="8"/>
        <v>C</v>
      </c>
    </row>
    <row r="158" spans="1:11" x14ac:dyDescent="0.3">
      <c r="A158" s="7" t="s">
        <v>289</v>
      </c>
      <c r="B158" s="2" t="s">
        <v>94</v>
      </c>
      <c r="C158" s="2">
        <v>30</v>
      </c>
      <c r="D158" s="2">
        <v>41</v>
      </c>
      <c r="E158" s="2">
        <v>65</v>
      </c>
      <c r="F158" s="2">
        <v>50</v>
      </c>
      <c r="G158" s="2">
        <v>45</v>
      </c>
      <c r="H158" s="2" t="s">
        <v>13</v>
      </c>
      <c r="I158" s="2">
        <f t="shared" si="6"/>
        <v>231</v>
      </c>
      <c r="J158" s="2">
        <f t="shared" si="7"/>
        <v>46.2</v>
      </c>
      <c r="K158" s="2" t="str">
        <f t="shared" si="8"/>
        <v>C</v>
      </c>
    </row>
    <row r="159" spans="1:11" x14ac:dyDescent="0.3">
      <c r="A159" s="7" t="s">
        <v>290</v>
      </c>
      <c r="B159" s="2" t="s">
        <v>291</v>
      </c>
      <c r="C159" s="2">
        <v>58</v>
      </c>
      <c r="D159" s="2">
        <v>71</v>
      </c>
      <c r="E159" s="2">
        <v>56</v>
      </c>
      <c r="F159" s="2">
        <v>80</v>
      </c>
      <c r="G159" s="2">
        <v>56</v>
      </c>
      <c r="H159" s="2" t="s">
        <v>13</v>
      </c>
      <c r="I159" s="2">
        <f t="shared" si="6"/>
        <v>321</v>
      </c>
      <c r="J159" s="2">
        <f t="shared" si="7"/>
        <v>64.2</v>
      </c>
      <c r="K159" s="2" t="str">
        <f t="shared" si="8"/>
        <v>B</v>
      </c>
    </row>
    <row r="160" spans="1:11" x14ac:dyDescent="0.3">
      <c r="A160" s="7" t="s">
        <v>292</v>
      </c>
      <c r="B160" s="2" t="s">
        <v>293</v>
      </c>
      <c r="C160" s="2">
        <v>39</v>
      </c>
      <c r="D160" s="2">
        <v>62</v>
      </c>
      <c r="E160" s="2">
        <v>57</v>
      </c>
      <c r="F160" s="2">
        <v>48</v>
      </c>
      <c r="G160" s="2">
        <v>39</v>
      </c>
      <c r="H160" s="2" t="s">
        <v>13</v>
      </c>
      <c r="I160" s="2">
        <f t="shared" si="6"/>
        <v>245</v>
      </c>
      <c r="J160" s="2">
        <f t="shared" si="7"/>
        <v>49</v>
      </c>
      <c r="K160" s="2" t="str">
        <f t="shared" si="8"/>
        <v>C</v>
      </c>
    </row>
    <row r="161" spans="1:11" x14ac:dyDescent="0.3">
      <c r="A161" s="7" t="s">
        <v>294</v>
      </c>
      <c r="B161" s="2" t="s">
        <v>70</v>
      </c>
      <c r="C161" s="2">
        <v>54</v>
      </c>
      <c r="D161" s="2">
        <v>30</v>
      </c>
      <c r="E161" s="2">
        <v>62</v>
      </c>
      <c r="F161" s="2">
        <v>47</v>
      </c>
      <c r="G161" s="2">
        <v>42</v>
      </c>
      <c r="H161" s="2" t="s">
        <v>13</v>
      </c>
      <c r="I161" s="2">
        <f t="shared" si="6"/>
        <v>235</v>
      </c>
      <c r="J161" s="2">
        <f t="shared" si="7"/>
        <v>47</v>
      </c>
      <c r="K161" s="2" t="str">
        <f t="shared" si="8"/>
        <v>C</v>
      </c>
    </row>
    <row r="162" spans="1:11" x14ac:dyDescent="0.3">
      <c r="A162" s="7" t="s">
        <v>295</v>
      </c>
      <c r="B162" s="2" t="s">
        <v>278</v>
      </c>
      <c r="C162" s="2">
        <v>68</v>
      </c>
      <c r="D162" s="2">
        <v>70</v>
      </c>
      <c r="E162" s="2">
        <v>59</v>
      </c>
      <c r="F162" s="2">
        <v>42</v>
      </c>
      <c r="G162" s="2">
        <v>87</v>
      </c>
      <c r="H162" s="2" t="s">
        <v>13</v>
      </c>
      <c r="I162" s="2">
        <f t="shared" si="6"/>
        <v>326</v>
      </c>
      <c r="J162" s="2">
        <f t="shared" si="7"/>
        <v>65.2</v>
      </c>
      <c r="K162" s="2" t="str">
        <f t="shared" si="8"/>
        <v>B</v>
      </c>
    </row>
    <row r="163" spans="1:11" x14ac:dyDescent="0.3">
      <c r="A163" s="7" t="s">
        <v>296</v>
      </c>
      <c r="B163" s="2" t="s">
        <v>12</v>
      </c>
      <c r="C163" s="2">
        <v>34</v>
      </c>
      <c r="D163" s="2">
        <v>35</v>
      </c>
      <c r="E163" s="2">
        <v>39</v>
      </c>
      <c r="F163" s="2">
        <v>35</v>
      </c>
      <c r="G163" s="2">
        <v>54</v>
      </c>
      <c r="H163" s="2" t="s">
        <v>13</v>
      </c>
      <c r="I163" s="2">
        <f t="shared" si="6"/>
        <v>197</v>
      </c>
      <c r="J163" s="2">
        <f t="shared" si="7"/>
        <v>39.4</v>
      </c>
      <c r="K163" s="2" t="str">
        <f t="shared" si="8"/>
        <v>Fail</v>
      </c>
    </row>
    <row r="164" spans="1:11" x14ac:dyDescent="0.3">
      <c r="A164" s="7" t="s">
        <v>298</v>
      </c>
      <c r="B164" s="2" t="s">
        <v>299</v>
      </c>
      <c r="C164" s="2">
        <v>46</v>
      </c>
      <c r="D164" s="2">
        <v>52</v>
      </c>
      <c r="E164" s="2">
        <v>30</v>
      </c>
      <c r="F164" s="2">
        <v>72</v>
      </c>
      <c r="G164" s="2">
        <v>94</v>
      </c>
      <c r="H164" s="2" t="s">
        <v>13</v>
      </c>
      <c r="I164" s="2">
        <f t="shared" si="6"/>
        <v>294</v>
      </c>
      <c r="J164" s="2">
        <f t="shared" si="7"/>
        <v>58.8</v>
      </c>
      <c r="K164" s="2" t="str">
        <f t="shared" si="8"/>
        <v>C</v>
      </c>
    </row>
    <row r="165" spans="1:11" x14ac:dyDescent="0.3">
      <c r="A165" s="7" t="s">
        <v>300</v>
      </c>
      <c r="B165" s="2" t="s">
        <v>301</v>
      </c>
      <c r="C165" s="2">
        <v>72</v>
      </c>
      <c r="D165" s="2">
        <v>56</v>
      </c>
      <c r="E165" s="2">
        <v>34</v>
      </c>
      <c r="F165" s="2">
        <v>53</v>
      </c>
      <c r="G165" s="2">
        <v>52</v>
      </c>
      <c r="H165" s="2" t="s">
        <v>13</v>
      </c>
      <c r="I165" s="2">
        <f t="shared" si="6"/>
        <v>267</v>
      </c>
      <c r="J165" s="2">
        <f t="shared" si="7"/>
        <v>53.4</v>
      </c>
      <c r="K165" s="2" t="str">
        <f t="shared" si="8"/>
        <v>C</v>
      </c>
    </row>
    <row r="166" spans="1:11" x14ac:dyDescent="0.3">
      <c r="A166" s="7" t="s">
        <v>302</v>
      </c>
      <c r="B166" s="2" t="s">
        <v>56</v>
      </c>
      <c r="C166" s="2">
        <v>99</v>
      </c>
      <c r="D166" s="2">
        <v>71</v>
      </c>
      <c r="E166" s="2">
        <v>42</v>
      </c>
      <c r="F166" s="2">
        <v>89</v>
      </c>
      <c r="G166" s="2">
        <v>81</v>
      </c>
      <c r="H166" s="2" t="s">
        <v>13</v>
      </c>
      <c r="I166" s="2">
        <f t="shared" si="6"/>
        <v>382</v>
      </c>
      <c r="J166" s="2">
        <f t="shared" si="7"/>
        <v>76.400000000000006</v>
      </c>
      <c r="K166" s="2" t="str">
        <f t="shared" si="8"/>
        <v>A</v>
      </c>
    </row>
    <row r="167" spans="1:11" x14ac:dyDescent="0.3">
      <c r="A167" s="7" t="s">
        <v>303</v>
      </c>
      <c r="B167" s="2" t="s">
        <v>304</v>
      </c>
      <c r="C167" s="2">
        <v>67</v>
      </c>
      <c r="D167" s="2">
        <v>68</v>
      </c>
      <c r="E167" s="2">
        <v>65</v>
      </c>
      <c r="F167" s="2">
        <v>91</v>
      </c>
      <c r="G167" s="2">
        <v>96</v>
      </c>
      <c r="H167" s="2" t="s">
        <v>13</v>
      </c>
      <c r="I167" s="2">
        <f t="shared" si="6"/>
        <v>387</v>
      </c>
      <c r="J167" s="2">
        <f t="shared" si="7"/>
        <v>77.400000000000006</v>
      </c>
      <c r="K167" s="2" t="str">
        <f t="shared" si="8"/>
        <v>A</v>
      </c>
    </row>
    <row r="168" spans="1:11" x14ac:dyDescent="0.3">
      <c r="A168" s="7" t="s">
        <v>305</v>
      </c>
      <c r="B168" s="2" t="s">
        <v>306</v>
      </c>
      <c r="C168" s="2">
        <v>44</v>
      </c>
      <c r="D168" s="2">
        <v>76</v>
      </c>
      <c r="E168" s="2">
        <v>76</v>
      </c>
      <c r="F168" s="2">
        <v>91</v>
      </c>
      <c r="G168" s="2">
        <v>60</v>
      </c>
      <c r="H168" s="2" t="s">
        <v>13</v>
      </c>
      <c r="I168" s="2">
        <f t="shared" si="6"/>
        <v>347</v>
      </c>
      <c r="J168" s="2">
        <f t="shared" si="7"/>
        <v>69.400000000000006</v>
      </c>
      <c r="K168" s="2" t="str">
        <f t="shared" si="8"/>
        <v>B</v>
      </c>
    </row>
    <row r="169" spans="1:11" x14ac:dyDescent="0.3">
      <c r="A169" s="7" t="s">
        <v>307</v>
      </c>
      <c r="B169" s="2" t="s">
        <v>308</v>
      </c>
      <c r="C169" s="2">
        <v>62</v>
      </c>
      <c r="D169" s="2">
        <v>71</v>
      </c>
      <c r="E169" s="2">
        <v>64</v>
      </c>
      <c r="F169" s="2">
        <v>37</v>
      </c>
      <c r="G169" s="2">
        <v>98</v>
      </c>
      <c r="H169" s="2" t="s">
        <v>13</v>
      </c>
      <c r="I169" s="2">
        <f t="shared" si="6"/>
        <v>332</v>
      </c>
      <c r="J169" s="2">
        <f t="shared" si="7"/>
        <v>66.400000000000006</v>
      </c>
      <c r="K169" s="2" t="str">
        <f t="shared" si="8"/>
        <v>B</v>
      </c>
    </row>
    <row r="170" spans="1:11" x14ac:dyDescent="0.3">
      <c r="A170" s="7" t="s">
        <v>309</v>
      </c>
      <c r="B170" s="2" t="s">
        <v>310</v>
      </c>
      <c r="C170" s="2">
        <v>72</v>
      </c>
      <c r="D170" s="2">
        <v>36</v>
      </c>
      <c r="E170" s="2">
        <v>79</v>
      </c>
      <c r="F170" s="2">
        <v>35</v>
      </c>
      <c r="G170" s="2">
        <v>48</v>
      </c>
      <c r="H170" s="2" t="s">
        <v>13</v>
      </c>
      <c r="I170" s="2">
        <f t="shared" si="6"/>
        <v>270</v>
      </c>
      <c r="J170" s="2">
        <f t="shared" si="7"/>
        <v>54</v>
      </c>
      <c r="K170" s="2" t="str">
        <f t="shared" si="8"/>
        <v>C</v>
      </c>
    </row>
    <row r="171" spans="1:11" x14ac:dyDescent="0.3">
      <c r="A171" s="7" t="s">
        <v>311</v>
      </c>
      <c r="B171" s="2" t="s">
        <v>53</v>
      </c>
      <c r="C171" s="2">
        <v>96</v>
      </c>
      <c r="D171" s="2">
        <v>44</v>
      </c>
      <c r="E171" s="2">
        <v>48</v>
      </c>
      <c r="F171" s="2">
        <v>41</v>
      </c>
      <c r="G171" s="2">
        <v>85</v>
      </c>
      <c r="H171" s="2" t="s">
        <v>13</v>
      </c>
      <c r="I171" s="2">
        <f t="shared" si="6"/>
        <v>314</v>
      </c>
      <c r="J171" s="2">
        <f t="shared" si="7"/>
        <v>62.8</v>
      </c>
      <c r="K171" s="2" t="str">
        <f t="shared" si="8"/>
        <v>B</v>
      </c>
    </row>
    <row r="172" spans="1:11" x14ac:dyDescent="0.3">
      <c r="A172" s="7" t="s">
        <v>312</v>
      </c>
      <c r="B172" s="2" t="s">
        <v>313</v>
      </c>
      <c r="C172" s="2">
        <v>72</v>
      </c>
      <c r="D172" s="2">
        <v>30</v>
      </c>
      <c r="E172" s="2">
        <v>74</v>
      </c>
      <c r="F172" s="2">
        <v>92</v>
      </c>
      <c r="G172" s="2">
        <v>71</v>
      </c>
      <c r="H172" s="2" t="s">
        <v>13</v>
      </c>
      <c r="I172" s="2">
        <f t="shared" si="6"/>
        <v>339</v>
      </c>
      <c r="J172" s="2">
        <f t="shared" si="7"/>
        <v>67.8</v>
      </c>
      <c r="K172" s="2" t="str">
        <f t="shared" si="8"/>
        <v>B</v>
      </c>
    </row>
    <row r="173" spans="1:11" x14ac:dyDescent="0.3">
      <c r="A173" s="7" t="s">
        <v>314</v>
      </c>
      <c r="B173" s="2" t="s">
        <v>186</v>
      </c>
      <c r="C173" s="2">
        <v>63</v>
      </c>
      <c r="D173" s="2">
        <v>39</v>
      </c>
      <c r="E173" s="2">
        <v>76</v>
      </c>
      <c r="F173" s="2">
        <v>68</v>
      </c>
      <c r="G173" s="2">
        <v>36</v>
      </c>
      <c r="H173" s="2" t="s">
        <v>13</v>
      </c>
      <c r="I173" s="2">
        <f t="shared" si="6"/>
        <v>282</v>
      </c>
      <c r="J173" s="2">
        <f t="shared" si="7"/>
        <v>56.4</v>
      </c>
      <c r="K173" s="2" t="str">
        <f t="shared" si="8"/>
        <v>C</v>
      </c>
    </row>
    <row r="174" spans="1:11" x14ac:dyDescent="0.3">
      <c r="A174" s="7" t="s">
        <v>315</v>
      </c>
      <c r="B174" s="2" t="s">
        <v>316</v>
      </c>
      <c r="C174" s="2">
        <v>95</v>
      </c>
      <c r="D174" s="2">
        <v>43</v>
      </c>
      <c r="E174" s="2">
        <v>99</v>
      </c>
      <c r="F174" s="2">
        <v>31</v>
      </c>
      <c r="G174" s="2">
        <v>57</v>
      </c>
      <c r="H174" s="2" t="s">
        <v>13</v>
      </c>
      <c r="I174" s="2">
        <f t="shared" si="6"/>
        <v>325</v>
      </c>
      <c r="J174" s="2">
        <f t="shared" si="7"/>
        <v>65</v>
      </c>
      <c r="K174" s="2" t="str">
        <f t="shared" si="8"/>
        <v>B</v>
      </c>
    </row>
    <row r="175" spans="1:11" x14ac:dyDescent="0.3">
      <c r="A175" s="7" t="s">
        <v>317</v>
      </c>
      <c r="B175" s="2" t="s">
        <v>318</v>
      </c>
      <c r="C175" s="2">
        <v>35</v>
      </c>
      <c r="D175" s="2">
        <v>35</v>
      </c>
      <c r="E175" s="2">
        <v>65</v>
      </c>
      <c r="F175" s="2">
        <v>65</v>
      </c>
      <c r="G175" s="2">
        <v>40</v>
      </c>
      <c r="H175" s="2" t="s">
        <v>13</v>
      </c>
      <c r="I175" s="2">
        <f t="shared" si="6"/>
        <v>240</v>
      </c>
      <c r="J175" s="2">
        <f t="shared" si="7"/>
        <v>48</v>
      </c>
      <c r="K175" s="2" t="str">
        <f t="shared" si="8"/>
        <v>C</v>
      </c>
    </row>
    <row r="176" spans="1:11" x14ac:dyDescent="0.3">
      <c r="A176" s="7" t="s">
        <v>319</v>
      </c>
      <c r="B176" s="2" t="s">
        <v>320</v>
      </c>
      <c r="C176" s="2">
        <v>53</v>
      </c>
      <c r="D176" s="2">
        <v>73</v>
      </c>
      <c r="E176" s="2">
        <v>88</v>
      </c>
      <c r="F176" s="2">
        <v>100</v>
      </c>
      <c r="G176" s="2">
        <v>55</v>
      </c>
      <c r="H176" s="2" t="s">
        <v>13</v>
      </c>
      <c r="I176" s="2">
        <f t="shared" si="6"/>
        <v>369</v>
      </c>
      <c r="J176" s="2">
        <f t="shared" si="7"/>
        <v>73.8</v>
      </c>
      <c r="K176" s="2" t="str">
        <f t="shared" si="8"/>
        <v>B</v>
      </c>
    </row>
    <row r="177" spans="1:11" x14ac:dyDescent="0.3">
      <c r="A177" s="7" t="s">
        <v>321</v>
      </c>
      <c r="B177" s="2" t="s">
        <v>322</v>
      </c>
      <c r="C177" s="2">
        <v>85</v>
      </c>
      <c r="D177" s="2">
        <v>82</v>
      </c>
      <c r="E177" s="2">
        <v>43</v>
      </c>
      <c r="F177" s="2">
        <v>46</v>
      </c>
      <c r="G177" s="2">
        <v>52</v>
      </c>
      <c r="H177" s="2" t="s">
        <v>13</v>
      </c>
      <c r="I177" s="2">
        <f t="shared" si="6"/>
        <v>308</v>
      </c>
      <c r="J177" s="2">
        <f t="shared" si="7"/>
        <v>61.6</v>
      </c>
      <c r="K177" s="2" t="str">
        <f t="shared" si="8"/>
        <v>B</v>
      </c>
    </row>
    <row r="178" spans="1:11" x14ac:dyDescent="0.3">
      <c r="A178" s="7" t="s">
        <v>323</v>
      </c>
      <c r="B178" s="2" t="s">
        <v>196</v>
      </c>
      <c r="C178" s="2">
        <v>97</v>
      </c>
      <c r="D178" s="2">
        <v>85</v>
      </c>
      <c r="E178" s="2">
        <v>85</v>
      </c>
      <c r="F178" s="2">
        <v>88</v>
      </c>
      <c r="G178" s="2">
        <v>63</v>
      </c>
      <c r="H178" s="2" t="s">
        <v>13</v>
      </c>
      <c r="I178" s="2">
        <f t="shared" si="6"/>
        <v>418</v>
      </c>
      <c r="J178" s="2">
        <f t="shared" si="7"/>
        <v>83.6</v>
      </c>
      <c r="K178" s="2" t="str">
        <f t="shared" si="8"/>
        <v>A</v>
      </c>
    </row>
    <row r="179" spans="1:11" x14ac:dyDescent="0.3">
      <c r="A179" s="7" t="s">
        <v>324</v>
      </c>
      <c r="B179" s="2" t="s">
        <v>249</v>
      </c>
      <c r="C179" s="2">
        <v>99</v>
      </c>
      <c r="D179" s="2">
        <v>53</v>
      </c>
      <c r="E179" s="2">
        <v>82</v>
      </c>
      <c r="F179" s="2">
        <v>79</v>
      </c>
      <c r="G179" s="2">
        <v>48</v>
      </c>
      <c r="H179" s="2" t="s">
        <v>13</v>
      </c>
      <c r="I179" s="2">
        <f t="shared" si="6"/>
        <v>361</v>
      </c>
      <c r="J179" s="2">
        <f t="shared" si="7"/>
        <v>72.2</v>
      </c>
      <c r="K179" s="2" t="str">
        <f t="shared" si="8"/>
        <v>B</v>
      </c>
    </row>
    <row r="180" spans="1:11" x14ac:dyDescent="0.3">
      <c r="A180" s="7" t="s">
        <v>325</v>
      </c>
      <c r="B180" s="2" t="s">
        <v>306</v>
      </c>
      <c r="C180" s="2">
        <v>46</v>
      </c>
      <c r="D180" s="2">
        <v>58</v>
      </c>
      <c r="E180" s="2">
        <v>79</v>
      </c>
      <c r="F180" s="2">
        <v>36</v>
      </c>
      <c r="G180" s="2">
        <v>85</v>
      </c>
      <c r="H180" s="2" t="s">
        <v>13</v>
      </c>
      <c r="I180" s="2">
        <f t="shared" si="6"/>
        <v>304</v>
      </c>
      <c r="J180" s="2">
        <f t="shared" si="7"/>
        <v>60.8</v>
      </c>
      <c r="K180" s="2" t="str">
        <f t="shared" si="8"/>
        <v>B</v>
      </c>
    </row>
    <row r="181" spans="1:11" x14ac:dyDescent="0.3">
      <c r="A181" s="7" t="s">
        <v>326</v>
      </c>
      <c r="B181" s="2" t="s">
        <v>18</v>
      </c>
      <c r="C181" s="2">
        <v>82</v>
      </c>
      <c r="D181" s="2">
        <v>85</v>
      </c>
      <c r="E181" s="2">
        <v>40</v>
      </c>
      <c r="F181" s="2">
        <v>68</v>
      </c>
      <c r="G181" s="2">
        <v>42</v>
      </c>
      <c r="H181" s="2" t="s">
        <v>13</v>
      </c>
      <c r="I181" s="2">
        <f t="shared" si="6"/>
        <v>317</v>
      </c>
      <c r="J181" s="2">
        <f t="shared" si="7"/>
        <v>63.4</v>
      </c>
      <c r="K181" s="2" t="str">
        <f t="shared" si="8"/>
        <v>B</v>
      </c>
    </row>
    <row r="182" spans="1:11" x14ac:dyDescent="0.3">
      <c r="A182" s="7" t="s">
        <v>327</v>
      </c>
      <c r="B182" s="2" t="s">
        <v>328</v>
      </c>
      <c r="C182" s="2">
        <v>93</v>
      </c>
      <c r="D182" s="2">
        <v>72</v>
      </c>
      <c r="E182" s="2">
        <v>86</v>
      </c>
      <c r="F182" s="2">
        <v>34</v>
      </c>
      <c r="G182" s="2">
        <v>100</v>
      </c>
      <c r="H182" s="2" t="s">
        <v>13</v>
      </c>
      <c r="I182" s="2">
        <f t="shared" si="6"/>
        <v>385</v>
      </c>
      <c r="J182" s="2">
        <f t="shared" si="7"/>
        <v>77</v>
      </c>
      <c r="K182" s="2" t="str">
        <f t="shared" si="8"/>
        <v>A</v>
      </c>
    </row>
    <row r="183" spans="1:11" x14ac:dyDescent="0.3">
      <c r="A183" s="7" t="s">
        <v>329</v>
      </c>
      <c r="B183" s="2" t="s">
        <v>330</v>
      </c>
      <c r="C183" s="2">
        <v>41</v>
      </c>
      <c r="D183" s="2">
        <v>55</v>
      </c>
      <c r="E183" s="2">
        <v>51</v>
      </c>
      <c r="F183" s="2">
        <v>98</v>
      </c>
      <c r="G183" s="2">
        <v>40</v>
      </c>
      <c r="H183" s="2" t="s">
        <v>13</v>
      </c>
      <c r="I183" s="2">
        <f t="shared" si="6"/>
        <v>285</v>
      </c>
      <c r="J183" s="2">
        <f t="shared" si="7"/>
        <v>57</v>
      </c>
      <c r="K183" s="2" t="str">
        <f t="shared" si="8"/>
        <v>C</v>
      </c>
    </row>
    <row r="184" spans="1:11" x14ac:dyDescent="0.3">
      <c r="A184" s="7" t="s">
        <v>331</v>
      </c>
      <c r="B184" s="2" t="s">
        <v>332</v>
      </c>
      <c r="C184" s="2">
        <v>50</v>
      </c>
      <c r="D184" s="2">
        <v>98</v>
      </c>
      <c r="E184" s="2">
        <v>63</v>
      </c>
      <c r="F184" s="2">
        <v>32</v>
      </c>
      <c r="G184" s="2">
        <v>62</v>
      </c>
      <c r="H184" s="2" t="s">
        <v>13</v>
      </c>
      <c r="I184" s="2">
        <f t="shared" si="6"/>
        <v>305</v>
      </c>
      <c r="J184" s="2">
        <f t="shared" si="7"/>
        <v>61</v>
      </c>
      <c r="K184" s="2" t="str">
        <f t="shared" si="8"/>
        <v>B</v>
      </c>
    </row>
    <row r="185" spans="1:11" x14ac:dyDescent="0.3">
      <c r="A185" s="7" t="s">
        <v>333</v>
      </c>
      <c r="B185" s="2" t="s">
        <v>334</v>
      </c>
      <c r="C185" s="2">
        <v>42</v>
      </c>
      <c r="D185" s="2">
        <v>61</v>
      </c>
      <c r="E185" s="2">
        <v>59</v>
      </c>
      <c r="F185" s="2">
        <v>71</v>
      </c>
      <c r="G185" s="2">
        <v>65</v>
      </c>
      <c r="H185" s="2" t="s">
        <v>13</v>
      </c>
      <c r="I185" s="2">
        <f t="shared" si="6"/>
        <v>298</v>
      </c>
      <c r="J185" s="2">
        <f t="shared" si="7"/>
        <v>59.6</v>
      </c>
      <c r="K185" s="2" t="str">
        <f t="shared" si="8"/>
        <v>C</v>
      </c>
    </row>
    <row r="186" spans="1:11" x14ac:dyDescent="0.3">
      <c r="A186" s="7" t="s">
        <v>335</v>
      </c>
      <c r="B186" s="2" t="s">
        <v>143</v>
      </c>
      <c r="C186" s="2">
        <v>88</v>
      </c>
      <c r="D186" s="2">
        <v>82</v>
      </c>
      <c r="E186" s="2">
        <v>86</v>
      </c>
      <c r="F186" s="2">
        <v>59</v>
      </c>
      <c r="G186" s="2">
        <v>76</v>
      </c>
      <c r="H186" s="2" t="s">
        <v>13</v>
      </c>
      <c r="I186" s="2">
        <f t="shared" si="6"/>
        <v>391</v>
      </c>
      <c r="J186" s="2">
        <f t="shared" si="7"/>
        <v>78.2</v>
      </c>
      <c r="K186" s="2" t="str">
        <f t="shared" si="8"/>
        <v>A</v>
      </c>
    </row>
    <row r="187" spans="1:11" x14ac:dyDescent="0.3">
      <c r="A187" s="7" t="s">
        <v>336</v>
      </c>
      <c r="B187" s="2" t="s">
        <v>337</v>
      </c>
      <c r="C187" s="2">
        <v>78</v>
      </c>
      <c r="D187" s="2">
        <v>92</v>
      </c>
      <c r="E187" s="2">
        <v>73</v>
      </c>
      <c r="F187" s="2">
        <v>58</v>
      </c>
      <c r="G187" s="2">
        <v>71</v>
      </c>
      <c r="H187" s="2" t="s">
        <v>13</v>
      </c>
      <c r="I187" s="2">
        <f t="shared" si="6"/>
        <v>372</v>
      </c>
      <c r="J187" s="2">
        <f t="shared" si="7"/>
        <v>74.400000000000006</v>
      </c>
      <c r="K187" s="2" t="str">
        <f t="shared" si="8"/>
        <v>B</v>
      </c>
    </row>
    <row r="188" spans="1:11" x14ac:dyDescent="0.3">
      <c r="A188" s="7" t="s">
        <v>338</v>
      </c>
      <c r="B188" s="2" t="s">
        <v>339</v>
      </c>
      <c r="C188" s="2">
        <v>52</v>
      </c>
      <c r="D188" s="2">
        <v>51</v>
      </c>
      <c r="E188" s="2">
        <v>32</v>
      </c>
      <c r="F188" s="2">
        <v>63</v>
      </c>
      <c r="G188" s="2">
        <v>49</v>
      </c>
      <c r="H188" s="2" t="s">
        <v>13</v>
      </c>
      <c r="I188" s="2">
        <f t="shared" si="6"/>
        <v>247</v>
      </c>
      <c r="J188" s="2">
        <f t="shared" si="7"/>
        <v>49.4</v>
      </c>
      <c r="K188" s="2" t="str">
        <f t="shared" si="8"/>
        <v>C</v>
      </c>
    </row>
    <row r="189" spans="1:11" x14ac:dyDescent="0.3">
      <c r="A189" s="7" t="s">
        <v>340</v>
      </c>
      <c r="B189" s="2" t="s">
        <v>341</v>
      </c>
      <c r="C189" s="2">
        <v>80</v>
      </c>
      <c r="D189" s="2">
        <v>88</v>
      </c>
      <c r="E189" s="2">
        <v>89</v>
      </c>
      <c r="F189" s="2">
        <v>73</v>
      </c>
      <c r="G189" s="2">
        <v>79</v>
      </c>
      <c r="H189" s="2" t="s">
        <v>13</v>
      </c>
      <c r="I189" s="2">
        <f t="shared" si="6"/>
        <v>409</v>
      </c>
      <c r="J189" s="2">
        <f t="shared" si="7"/>
        <v>81.8</v>
      </c>
      <c r="K189" s="2" t="str">
        <f t="shared" si="8"/>
        <v>A</v>
      </c>
    </row>
    <row r="190" spans="1:11" x14ac:dyDescent="0.3">
      <c r="A190" s="7" t="s">
        <v>342</v>
      </c>
      <c r="B190" s="2" t="s">
        <v>145</v>
      </c>
      <c r="C190" s="2">
        <v>55</v>
      </c>
      <c r="D190" s="2">
        <v>48</v>
      </c>
      <c r="E190" s="2">
        <v>93</v>
      </c>
      <c r="F190" s="2">
        <v>37</v>
      </c>
      <c r="G190" s="2">
        <v>70</v>
      </c>
      <c r="H190" s="2" t="s">
        <v>13</v>
      </c>
      <c r="I190" s="2">
        <f t="shared" si="6"/>
        <v>303</v>
      </c>
      <c r="J190" s="2">
        <f t="shared" si="7"/>
        <v>60.6</v>
      </c>
      <c r="K190" s="2" t="str">
        <f t="shared" si="8"/>
        <v>B</v>
      </c>
    </row>
    <row r="191" spans="1:11" x14ac:dyDescent="0.3">
      <c r="A191" s="7" t="s">
        <v>343</v>
      </c>
      <c r="B191" s="2" t="s">
        <v>224</v>
      </c>
      <c r="C191" s="2">
        <v>97</v>
      </c>
      <c r="D191" s="2">
        <v>57</v>
      </c>
      <c r="E191" s="2">
        <v>52</v>
      </c>
      <c r="F191" s="2">
        <v>70</v>
      </c>
      <c r="G191" s="2">
        <v>36</v>
      </c>
      <c r="H191" s="2" t="s">
        <v>13</v>
      </c>
      <c r="I191" s="2">
        <f t="shared" si="6"/>
        <v>312</v>
      </c>
      <c r="J191" s="2">
        <f t="shared" si="7"/>
        <v>62.4</v>
      </c>
      <c r="K191" s="2" t="str">
        <f t="shared" si="8"/>
        <v>B</v>
      </c>
    </row>
    <row r="192" spans="1:11" x14ac:dyDescent="0.3">
      <c r="A192" s="7" t="s">
        <v>344</v>
      </c>
      <c r="B192" s="2" t="s">
        <v>345</v>
      </c>
      <c r="C192" s="2">
        <v>71</v>
      </c>
      <c r="D192" s="2">
        <v>60</v>
      </c>
      <c r="E192" s="2">
        <v>61</v>
      </c>
      <c r="F192" s="2">
        <v>56</v>
      </c>
      <c r="G192" s="2">
        <v>94</v>
      </c>
      <c r="H192" s="2" t="s">
        <v>13</v>
      </c>
      <c r="I192" s="2">
        <f t="shared" si="6"/>
        <v>342</v>
      </c>
      <c r="J192" s="2">
        <f t="shared" si="7"/>
        <v>68.400000000000006</v>
      </c>
      <c r="K192" s="2" t="str">
        <f t="shared" si="8"/>
        <v>B</v>
      </c>
    </row>
    <row r="193" spans="1:11" x14ac:dyDescent="0.3">
      <c r="A193" s="7" t="s">
        <v>346</v>
      </c>
      <c r="B193" s="2" t="s">
        <v>301</v>
      </c>
      <c r="C193" s="2">
        <v>42</v>
      </c>
      <c r="D193" s="2">
        <v>75</v>
      </c>
      <c r="E193" s="2">
        <v>49</v>
      </c>
      <c r="F193" s="2">
        <v>94</v>
      </c>
      <c r="G193" s="2">
        <v>70</v>
      </c>
      <c r="H193" s="2" t="s">
        <v>13</v>
      </c>
      <c r="I193" s="2">
        <f t="shared" si="6"/>
        <v>330</v>
      </c>
      <c r="J193" s="2">
        <f t="shared" si="7"/>
        <v>66</v>
      </c>
      <c r="K193" s="2" t="str">
        <f t="shared" si="8"/>
        <v>B</v>
      </c>
    </row>
    <row r="194" spans="1:11" x14ac:dyDescent="0.3">
      <c r="A194" s="7" t="s">
        <v>347</v>
      </c>
      <c r="B194" s="2" t="s">
        <v>348</v>
      </c>
      <c r="C194" s="2">
        <v>65</v>
      </c>
      <c r="D194" s="2">
        <v>49</v>
      </c>
      <c r="E194" s="2">
        <v>56</v>
      </c>
      <c r="F194" s="2">
        <v>62</v>
      </c>
      <c r="G194" s="2">
        <v>93</v>
      </c>
      <c r="H194" s="2" t="s">
        <v>13</v>
      </c>
      <c r="I194" s="2">
        <f t="shared" si="6"/>
        <v>325</v>
      </c>
      <c r="J194" s="2">
        <f t="shared" si="7"/>
        <v>65</v>
      </c>
      <c r="K194" s="2" t="str">
        <f t="shared" si="8"/>
        <v>B</v>
      </c>
    </row>
    <row r="195" spans="1:11" x14ac:dyDescent="0.3">
      <c r="A195" s="7" t="s">
        <v>349</v>
      </c>
      <c r="B195" s="2" t="s">
        <v>350</v>
      </c>
      <c r="C195" s="2">
        <v>62</v>
      </c>
      <c r="D195" s="2">
        <v>99</v>
      </c>
      <c r="E195" s="2">
        <v>86</v>
      </c>
      <c r="F195" s="2">
        <v>76</v>
      </c>
      <c r="G195" s="2">
        <v>50</v>
      </c>
      <c r="H195" s="2" t="s">
        <v>13</v>
      </c>
      <c r="I195" s="2">
        <f t="shared" si="6"/>
        <v>373</v>
      </c>
      <c r="J195" s="2">
        <f t="shared" si="7"/>
        <v>74.599999999999994</v>
      </c>
      <c r="K195" s="2" t="str">
        <f t="shared" si="8"/>
        <v>B</v>
      </c>
    </row>
    <row r="196" spans="1:11" x14ac:dyDescent="0.3">
      <c r="A196" s="7" t="s">
        <v>351</v>
      </c>
      <c r="B196" s="2" t="s">
        <v>352</v>
      </c>
      <c r="C196" s="2">
        <v>38</v>
      </c>
      <c r="D196" s="2">
        <v>63</v>
      </c>
      <c r="E196" s="2">
        <v>94</v>
      </c>
      <c r="F196" s="2">
        <v>100</v>
      </c>
      <c r="G196" s="2">
        <v>44</v>
      </c>
      <c r="H196" s="2" t="s">
        <v>13</v>
      </c>
      <c r="I196" s="2">
        <f t="shared" si="6"/>
        <v>339</v>
      </c>
      <c r="J196" s="2">
        <f t="shared" si="7"/>
        <v>67.8</v>
      </c>
      <c r="K196" s="2" t="str">
        <f t="shared" si="8"/>
        <v>B</v>
      </c>
    </row>
    <row r="197" spans="1:11" x14ac:dyDescent="0.3">
      <c r="A197" s="7" t="s">
        <v>353</v>
      </c>
      <c r="B197" s="2" t="s">
        <v>192</v>
      </c>
      <c r="C197" s="2">
        <v>62</v>
      </c>
      <c r="D197" s="2">
        <v>70</v>
      </c>
      <c r="E197" s="2">
        <v>74</v>
      </c>
      <c r="F197" s="2">
        <v>31</v>
      </c>
      <c r="G197" s="2">
        <v>78</v>
      </c>
      <c r="H197" s="2" t="s">
        <v>13</v>
      </c>
      <c r="I197" s="2">
        <f t="shared" si="6"/>
        <v>315</v>
      </c>
      <c r="J197" s="2">
        <f t="shared" si="7"/>
        <v>63</v>
      </c>
      <c r="K197" s="2" t="str">
        <f t="shared" si="8"/>
        <v>B</v>
      </c>
    </row>
    <row r="198" spans="1:11" x14ac:dyDescent="0.3">
      <c r="A198" s="7" t="s">
        <v>354</v>
      </c>
      <c r="B198" s="2" t="s">
        <v>355</v>
      </c>
      <c r="C198" s="2">
        <v>64</v>
      </c>
      <c r="D198" s="2">
        <v>80</v>
      </c>
      <c r="E198" s="2">
        <v>81</v>
      </c>
      <c r="F198" s="2">
        <v>59</v>
      </c>
      <c r="G198" s="2">
        <v>80</v>
      </c>
      <c r="H198" s="2" t="s">
        <v>13</v>
      </c>
      <c r="I198" s="2">
        <f t="shared" si="6"/>
        <v>364</v>
      </c>
      <c r="J198" s="2">
        <f t="shared" si="7"/>
        <v>72.8</v>
      </c>
      <c r="K198" s="2" t="str">
        <f t="shared" si="8"/>
        <v>B</v>
      </c>
    </row>
    <row r="199" spans="1:11" x14ac:dyDescent="0.3">
      <c r="A199" s="7" t="s">
        <v>356</v>
      </c>
      <c r="B199" s="2" t="s">
        <v>357</v>
      </c>
      <c r="C199" s="2">
        <v>66</v>
      </c>
      <c r="D199" s="2">
        <v>83</v>
      </c>
      <c r="E199" s="2">
        <v>73</v>
      </c>
      <c r="F199" s="2">
        <v>46</v>
      </c>
      <c r="G199" s="2">
        <v>80</v>
      </c>
      <c r="H199" s="2" t="s">
        <v>13</v>
      </c>
      <c r="I199" s="2">
        <f t="shared" si="6"/>
        <v>348</v>
      </c>
      <c r="J199" s="2">
        <f t="shared" si="7"/>
        <v>69.599999999999994</v>
      </c>
      <c r="K199" s="2" t="str">
        <f t="shared" si="8"/>
        <v>B</v>
      </c>
    </row>
    <row r="200" spans="1:11" x14ac:dyDescent="0.3">
      <c r="A200" s="7" t="s">
        <v>358</v>
      </c>
      <c r="B200" s="2" t="s">
        <v>21</v>
      </c>
      <c r="C200" s="2">
        <v>98</v>
      </c>
      <c r="D200" s="2">
        <v>84</v>
      </c>
      <c r="E200" s="2">
        <v>84</v>
      </c>
      <c r="F200" s="2">
        <v>78</v>
      </c>
      <c r="G200" s="2">
        <v>83</v>
      </c>
      <c r="H200" s="2" t="s">
        <v>13</v>
      </c>
      <c r="I200" s="2">
        <f t="shared" si="6"/>
        <v>427</v>
      </c>
      <c r="J200" s="2">
        <f t="shared" si="7"/>
        <v>85.4</v>
      </c>
      <c r="K200" s="2" t="str">
        <f t="shared" si="8"/>
        <v>A</v>
      </c>
    </row>
    <row r="201" spans="1:11" x14ac:dyDescent="0.3">
      <c r="A201" s="7" t="s">
        <v>359</v>
      </c>
      <c r="B201" s="2" t="s">
        <v>360</v>
      </c>
      <c r="C201" s="2">
        <v>49</v>
      </c>
      <c r="D201" s="2">
        <v>36</v>
      </c>
      <c r="E201" s="2">
        <v>67</v>
      </c>
      <c r="F201" s="2">
        <v>46</v>
      </c>
      <c r="G201" s="2">
        <v>48</v>
      </c>
      <c r="H201" s="2" t="s">
        <v>13</v>
      </c>
      <c r="I201" s="2">
        <f t="shared" si="6"/>
        <v>246</v>
      </c>
      <c r="J201" s="2">
        <f t="shared" si="7"/>
        <v>49.2</v>
      </c>
      <c r="K201" s="2" t="str">
        <f t="shared" si="8"/>
        <v>C</v>
      </c>
    </row>
    <row r="202" spans="1:11" x14ac:dyDescent="0.3">
      <c r="A202" s="7" t="s">
        <v>361</v>
      </c>
      <c r="B202" s="2" t="s">
        <v>362</v>
      </c>
      <c r="C202" s="2">
        <v>67</v>
      </c>
      <c r="D202" s="2">
        <v>86</v>
      </c>
      <c r="E202" s="2">
        <v>92</v>
      </c>
      <c r="F202" s="2">
        <v>57</v>
      </c>
      <c r="G202" s="2">
        <v>38</v>
      </c>
      <c r="H202" s="2" t="s">
        <v>13</v>
      </c>
      <c r="I202" s="2">
        <f t="shared" ref="I202:I208" si="9">SUM(C202:G202)</f>
        <v>340</v>
      </c>
      <c r="J202" s="2">
        <f t="shared" ref="J202:J208" si="10">AVERAGE(C202:G202)</f>
        <v>68</v>
      </c>
      <c r="K202" s="2" t="str">
        <f t="shared" ref="K202:K208" si="11">IF(J202&gt;=90,"A+",IF(J202&gt;=75,"A",IF(J202&gt;=60,"B",IF(J202&gt;=45,"C","Fail"))))</f>
        <v>B</v>
      </c>
    </row>
    <row r="203" spans="1:11" x14ac:dyDescent="0.3">
      <c r="A203" s="7" t="s">
        <v>363</v>
      </c>
      <c r="B203" s="2" t="s">
        <v>199</v>
      </c>
      <c r="C203" s="2">
        <v>67</v>
      </c>
      <c r="D203" s="2">
        <v>43</v>
      </c>
      <c r="E203" s="2">
        <v>66</v>
      </c>
      <c r="F203" s="2">
        <v>35</v>
      </c>
      <c r="G203" s="2">
        <v>77</v>
      </c>
      <c r="H203" s="2" t="s">
        <v>13</v>
      </c>
      <c r="I203" s="2">
        <f t="shared" si="9"/>
        <v>288</v>
      </c>
      <c r="J203" s="2">
        <f t="shared" si="10"/>
        <v>57.6</v>
      </c>
      <c r="K203" s="2" t="str">
        <f t="shared" si="11"/>
        <v>C</v>
      </c>
    </row>
    <row r="204" spans="1:11" x14ac:dyDescent="0.3">
      <c r="A204" s="7" t="s">
        <v>364</v>
      </c>
      <c r="B204" s="2" t="s">
        <v>365</v>
      </c>
      <c r="C204" s="2">
        <v>69</v>
      </c>
      <c r="D204" s="2">
        <v>47</v>
      </c>
      <c r="E204" s="2">
        <v>86</v>
      </c>
      <c r="F204" s="2">
        <v>38</v>
      </c>
      <c r="G204" s="2">
        <v>94</v>
      </c>
      <c r="H204" s="2" t="s">
        <v>13</v>
      </c>
      <c r="I204" s="2">
        <f t="shared" si="9"/>
        <v>334</v>
      </c>
      <c r="J204" s="2">
        <f t="shared" si="10"/>
        <v>66.8</v>
      </c>
      <c r="K204" s="2" t="str">
        <f t="shared" si="11"/>
        <v>B</v>
      </c>
    </row>
    <row r="205" spans="1:11" x14ac:dyDescent="0.3">
      <c r="A205" s="7" t="s">
        <v>366</v>
      </c>
      <c r="B205" s="2" t="s">
        <v>367</v>
      </c>
      <c r="C205" s="2">
        <v>59</v>
      </c>
      <c r="D205" s="2">
        <v>70</v>
      </c>
      <c r="E205" s="2">
        <v>45</v>
      </c>
      <c r="F205" s="2">
        <v>41</v>
      </c>
      <c r="G205" s="2">
        <v>67</v>
      </c>
      <c r="H205" s="2" t="s">
        <v>13</v>
      </c>
      <c r="I205" s="2">
        <f t="shared" si="9"/>
        <v>282</v>
      </c>
      <c r="J205" s="2">
        <f t="shared" si="10"/>
        <v>56.4</v>
      </c>
      <c r="K205" s="2" t="str">
        <f t="shared" si="11"/>
        <v>C</v>
      </c>
    </row>
    <row r="206" spans="1:11" x14ac:dyDescent="0.3">
      <c r="A206" s="7" t="s">
        <v>368</v>
      </c>
      <c r="B206" s="2" t="s">
        <v>108</v>
      </c>
      <c r="C206" s="2">
        <v>33</v>
      </c>
      <c r="D206" s="2">
        <v>83</v>
      </c>
      <c r="E206" s="2">
        <v>88</v>
      </c>
      <c r="F206" s="2">
        <v>88</v>
      </c>
      <c r="G206" s="2">
        <v>50</v>
      </c>
      <c r="H206" s="2" t="s">
        <v>13</v>
      </c>
      <c r="I206" s="2">
        <f t="shared" si="9"/>
        <v>342</v>
      </c>
      <c r="J206" s="2">
        <f t="shared" si="10"/>
        <v>68.400000000000006</v>
      </c>
      <c r="K206" s="2" t="str">
        <f t="shared" si="11"/>
        <v>B</v>
      </c>
    </row>
    <row r="207" spans="1:11" x14ac:dyDescent="0.3">
      <c r="A207" s="7" t="s">
        <v>369</v>
      </c>
      <c r="B207" s="2" t="s">
        <v>257</v>
      </c>
      <c r="C207" s="2">
        <v>85</v>
      </c>
      <c r="D207" s="2">
        <v>43</v>
      </c>
      <c r="E207" s="2">
        <v>42</v>
      </c>
      <c r="F207" s="2">
        <v>57</v>
      </c>
      <c r="G207" s="2">
        <v>86</v>
      </c>
      <c r="H207" s="2" t="s">
        <v>13</v>
      </c>
      <c r="I207" s="2">
        <f t="shared" si="9"/>
        <v>313</v>
      </c>
      <c r="J207" s="2">
        <f t="shared" si="10"/>
        <v>62.6</v>
      </c>
      <c r="K207" s="2" t="str">
        <f t="shared" si="11"/>
        <v>B</v>
      </c>
    </row>
    <row r="208" spans="1:11" x14ac:dyDescent="0.3">
      <c r="A208" s="7" t="s">
        <v>370</v>
      </c>
      <c r="B208" s="2" t="s">
        <v>371</v>
      </c>
      <c r="C208" s="2">
        <v>42</v>
      </c>
      <c r="D208" s="2">
        <v>72</v>
      </c>
      <c r="E208" s="2">
        <v>93</v>
      </c>
      <c r="F208" s="2">
        <v>33</v>
      </c>
      <c r="G208" s="2">
        <v>91</v>
      </c>
      <c r="H208" s="2" t="s">
        <v>13</v>
      </c>
      <c r="I208" s="2">
        <f t="shared" si="9"/>
        <v>331</v>
      </c>
      <c r="J208" s="2">
        <f t="shared" si="10"/>
        <v>66.2</v>
      </c>
      <c r="K208" s="2" t="str">
        <f t="shared" si="11"/>
        <v>B</v>
      </c>
    </row>
    <row r="209" spans="1:2" x14ac:dyDescent="0.3">
      <c r="A209" s="2"/>
      <c r="B209" s="2"/>
    </row>
    <row r="210" spans="1:2" ht="15.6" x14ac:dyDescent="0.3">
      <c r="A210" s="4" t="s">
        <v>381</v>
      </c>
      <c r="B210" s="2">
        <f>COUNTA(B9:B208)</f>
        <v>200</v>
      </c>
    </row>
    <row r="211" spans="1:2" ht="15.6" x14ac:dyDescent="0.3">
      <c r="A211" s="4" t="s">
        <v>382</v>
      </c>
      <c r="B211" s="2">
        <f>AVERAGE(J9:J208)</f>
        <v>65.132000000000005</v>
      </c>
    </row>
    <row r="212" spans="1:2" ht="15.6" x14ac:dyDescent="0.3">
      <c r="A212" s="4" t="s">
        <v>383</v>
      </c>
      <c r="B212" s="2">
        <f>MAX(J9:J208)</f>
        <v>90.6</v>
      </c>
    </row>
    <row r="213" spans="1:2" ht="15.6" x14ac:dyDescent="0.3">
      <c r="A213" s="4" t="s">
        <v>384</v>
      </c>
      <c r="B213" s="2">
        <f>MIN(J9:J208)</f>
        <v>39.4</v>
      </c>
    </row>
  </sheetData>
  <mergeCells count="3">
    <mergeCell ref="A4:D4"/>
    <mergeCell ref="A5:L5"/>
    <mergeCell ref="A6:K6"/>
  </mergeCells>
  <conditionalFormatting sqref="K9:K208">
    <cfRule type="cellIs" dxfId="4" priority="3" operator="equal">
      <formula>"c"</formula>
    </cfRule>
    <cfRule type="cellIs" dxfId="3" priority="4" operator="equal">
      <formula>"b"</formula>
    </cfRule>
    <cfRule type="cellIs" dxfId="2" priority="5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0">
    <cfRule type="cellIs" dxfId="1" priority="1" operator="equal">
      <formula>"a+"</formula>
    </cfRule>
  </conditionalFormatting>
  <conditionalFormatting sqref="K163">
    <cfRule type="cellIs" dxfId="0" priority="2" operator="equal">
      <formula>"fail"</formula>
    </cfRule>
  </conditionalFormatting>
  <pageMargins left="0.75" right="0.75" top="1" bottom="1" header="0.5" footer="0.5"/>
  <ignoredErrors>
    <ignoredError sqref="H9 H10:H20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9" sqref="C9"/>
    </sheetView>
  </sheetViews>
  <sheetFormatPr defaultRowHeight="14.4" x14ac:dyDescent="0.3"/>
  <cols>
    <col min="1" max="1" width="10" customWidth="1"/>
    <col min="2" max="2" width="15.44140625" customWidth="1"/>
    <col min="3" max="3" width="12.77734375" customWidth="1"/>
    <col min="4" max="4" width="14.88671875" customWidth="1"/>
  </cols>
  <sheetData>
    <row r="1" spans="1:4" x14ac:dyDescent="0.3">
      <c r="B1" s="1" t="s">
        <v>372</v>
      </c>
      <c r="C1" s="1" t="s">
        <v>373</v>
      </c>
      <c r="D1" s="1" t="s">
        <v>374</v>
      </c>
    </row>
    <row r="2" spans="1:4" x14ac:dyDescent="0.3">
      <c r="A2" s="1" t="s">
        <v>2</v>
      </c>
      <c r="B2">
        <v>66.239999999999995</v>
      </c>
      <c r="C2">
        <v>100</v>
      </c>
      <c r="D2">
        <v>30</v>
      </c>
    </row>
    <row r="3" spans="1:4" x14ac:dyDescent="0.3">
      <c r="A3" s="1" t="s">
        <v>3</v>
      </c>
      <c r="B3">
        <v>65.44</v>
      </c>
      <c r="C3">
        <v>100</v>
      </c>
      <c r="D3">
        <v>30</v>
      </c>
    </row>
    <row r="4" spans="1:4" x14ac:dyDescent="0.3">
      <c r="A4" s="1" t="s">
        <v>4</v>
      </c>
      <c r="B4">
        <v>64.209999999999994</v>
      </c>
      <c r="C4">
        <v>100</v>
      </c>
      <c r="D4">
        <v>30</v>
      </c>
    </row>
    <row r="5" spans="1:4" x14ac:dyDescent="0.3">
      <c r="A5" s="1" t="s">
        <v>5</v>
      </c>
      <c r="B5">
        <v>63.36</v>
      </c>
      <c r="C5">
        <v>100</v>
      </c>
      <c r="D5">
        <v>30</v>
      </c>
    </row>
    <row r="6" spans="1:4" x14ac:dyDescent="0.3">
      <c r="A6" s="1" t="s">
        <v>6</v>
      </c>
      <c r="B6">
        <v>66.41</v>
      </c>
      <c r="C6">
        <v>100</v>
      </c>
      <c r="D6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abSelected="1" zoomScale="81" workbookViewId="0">
      <selection activeCell="B22" sqref="B22"/>
    </sheetView>
  </sheetViews>
  <sheetFormatPr defaultRowHeight="14.4" x14ac:dyDescent="0.3"/>
  <cols>
    <col min="1" max="1" width="10.88671875" customWidth="1"/>
    <col min="2" max="2" width="13.44140625" customWidth="1"/>
  </cols>
  <sheetData>
    <row r="1" spans="1:10" x14ac:dyDescent="0.3">
      <c r="A1" s="1" t="s">
        <v>375</v>
      </c>
    </row>
    <row r="2" spans="1:10" x14ac:dyDescent="0.3">
      <c r="A2" t="s">
        <v>376</v>
      </c>
    </row>
    <row r="3" spans="1:10" ht="15.6" x14ac:dyDescent="0.3">
      <c r="F3" s="9" t="s">
        <v>386</v>
      </c>
      <c r="G3" s="9"/>
      <c r="H3" s="9"/>
      <c r="I3" s="9"/>
      <c r="J3" s="9"/>
    </row>
    <row r="4" spans="1:10" x14ac:dyDescent="0.3">
      <c r="A4" s="6" t="s">
        <v>10</v>
      </c>
      <c r="B4" s="2" t="s">
        <v>380</v>
      </c>
    </row>
    <row r="5" spans="1:10" x14ac:dyDescent="0.3">
      <c r="A5" s="2" t="s">
        <v>32</v>
      </c>
      <c r="B5" s="2">
        <v>28</v>
      </c>
    </row>
    <row r="6" spans="1:10" x14ac:dyDescent="0.3">
      <c r="A6" s="2" t="s">
        <v>54</v>
      </c>
      <c r="B6" s="2">
        <v>1</v>
      </c>
    </row>
    <row r="7" spans="1:10" x14ac:dyDescent="0.3">
      <c r="A7" s="2" t="s">
        <v>19</v>
      </c>
      <c r="B7" s="2">
        <v>115</v>
      </c>
    </row>
    <row r="8" spans="1:10" x14ac:dyDescent="0.3">
      <c r="A8" s="2" t="s">
        <v>14</v>
      </c>
      <c r="B8" s="2">
        <v>55</v>
      </c>
    </row>
    <row r="9" spans="1:10" x14ac:dyDescent="0.3">
      <c r="A9" s="2" t="s">
        <v>297</v>
      </c>
      <c r="B9" s="2">
        <v>1</v>
      </c>
    </row>
    <row r="28" spans="5:9" ht="15.6" x14ac:dyDescent="0.3">
      <c r="E28" s="9" t="s">
        <v>385</v>
      </c>
      <c r="F28" s="9"/>
      <c r="G28" s="9"/>
      <c r="H28" s="9"/>
      <c r="I28" s="9"/>
    </row>
  </sheetData>
  <mergeCells count="2">
    <mergeCell ref="E28:I28"/>
    <mergeCell ref="F3:J3"/>
  </mergeCell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grade</vt:lpstr>
      <vt:lpstr>Student_Data</vt:lpstr>
      <vt:lpstr>Summary_Report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chauhan</cp:lastModifiedBy>
  <dcterms:created xsi:type="dcterms:W3CDTF">2025-10-29T16:47:03Z</dcterms:created>
  <dcterms:modified xsi:type="dcterms:W3CDTF">2025-11-01T04:50:11Z</dcterms:modified>
</cp:coreProperties>
</file>